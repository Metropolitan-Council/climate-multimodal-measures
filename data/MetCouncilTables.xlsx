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167" documentId="8_{BBC49CD7-68E0-4D8F-B576-EE14E509F0DE}" xr6:coauthVersionLast="47" xr6:coauthVersionMax="47" xr10:uidLastSave="{55D89571-C465-45CA-8F78-FAE742371238}"/>
  <bookViews>
    <workbookView xWindow="0" yWindow="0" windowWidth="14310" windowHeight="15480" firstSheet="5" activeTab="5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FuelEfficiency" sheetId="45" r:id="rId6"/>
    <sheet name="MobilityServiceVMTReduction" sheetId="6" r:id="rId7"/>
    <sheet name="OCTAMobilityHubVMT" sheetId="7" r:id="rId8"/>
    <sheet name="AccesstoTransitImpact" sheetId="8" r:id="rId9"/>
    <sheet name="AdjustmentFactorsAndTripLengths" sheetId="11" r:id="rId10"/>
    <sheet name="VMTByCommunityType" sheetId="44" r:id="rId11"/>
    <sheet name="TotalVMTReductionPotential" sheetId="12" r:id="rId12"/>
    <sheet name="ElasticityOfRidershipIncrease" sheetId="14" r:id="rId13"/>
    <sheet name="RecommendedBRTImpactAssumptions" sheetId="15" r:id="rId14"/>
    <sheet name="TripAndVMTModeShiftPotential" sheetId="19" r:id="rId15"/>
    <sheet name="EnergyEfficiencyForEVs" sheetId="20" r:id="rId16"/>
    <sheet name="ModeShiftFactor" sheetId="22" r:id="rId17"/>
    <sheet name="CreditForKeyDestinations" sheetId="23" r:id="rId18"/>
    <sheet name="FuelConsumptionAtIdle" sheetId="28" r:id="rId19"/>
    <sheet name="ImpactOfCapacityExpansion " sheetId="32" r:id="rId20"/>
    <sheet name="TotalLifecycleGHGs" sheetId="39" r:id="rId21"/>
    <sheet name="SocialCostCarbon" sheetId="40" r:id="rId22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5" l="1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3" i="5"/>
</calcChain>
</file>

<file path=xl/sharedStrings.xml><?xml version="1.0" encoding="utf-8"?>
<sst xmlns="http://schemas.openxmlformats.org/spreadsheetml/2006/main" count="532" uniqueCount="242">
  <si>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</si>
  <si>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</si>
  <si>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</si>
  <si>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</si>
  <si>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</si>
  <si>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</si>
  <si>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</si>
  <si>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</si>
  <si>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</si>
  <si>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</si>
  <si>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</si>
  <si>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</si>
  <si>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</si>
  <si>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</si>
  <si>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</si>
  <si>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</si>
  <si>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</si>
  <si>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</si>
  <si>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</si>
  <si>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</si>
  <si>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</si>
  <si>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</si>
  <si>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</si>
  <si>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</si>
  <si>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</si>
  <si>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</si>
  <si>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</si>
  <si>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</si>
  <si>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</si>
  <si>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</si>
  <si>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</si>
  <si>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</si>
  <si>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</si>
  <si>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</si>
  <si>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</si>
  <si>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</si>
  <si>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</si>
  <si>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</si>
  <si>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</si>
  <si>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Commuter Rail</t>
  </si>
  <si>
    <t>Core Local</t>
  </si>
  <si>
    <t>Light Rail Transit</t>
  </si>
  <si>
    <t>Suburban Local</t>
  </si>
  <si>
    <t>Support</t>
  </si>
  <si>
    <t>fuel</t>
  </si>
  <si>
    <t>gasoline</t>
  </si>
  <si>
    <t>diesel</t>
  </si>
  <si>
    <t>compressed_natural_gas</t>
  </si>
  <si>
    <t>electricity</t>
  </si>
  <si>
    <t>WTW CI (gCO₂e/mi)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</si>
  <si>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</si>
  <si>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</si>
  <si>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</si>
  <si>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</si>
  <si>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</si>
  <si>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</si>
  <si>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</si>
  <si>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</si>
  <si>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</si>
  <si>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</si>
  <si>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</si>
  <si>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</si>
  <si>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</si>
  <si>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</si>
  <si>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</si>
  <si>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</si>
  <si>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</si>
  <si>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</si>
  <si>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</si>
  <si>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</si>
  <si>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</si>
  <si>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</si>
  <si>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</si>
  <si>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</si>
  <si>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</si>
  <si>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</si>
  <si>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</si>
  <si>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</si>
  <si>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mobility_mode</t>
  </si>
  <si>
    <t>total_vmt_reduction_potential</t>
  </si>
  <si>
    <t>bus</t>
  </si>
  <si>
    <t>commuter_rail</t>
  </si>
  <si>
    <t>light_rail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</si>
  <si>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</si>
  <si>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</si>
  <si>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</si>
  <si>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</si>
  <si>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</si>
  <si>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</si>
  <si>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</si>
  <si>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</si>
  <si>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</si>
  <si>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</si>
  <si>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</si>
  <si>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</si>
  <si>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</si>
  <si>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</si>
  <si>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</si>
  <si>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</si>
  <si>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</si>
  <si>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</si>
  <si>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</si>
  <si>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</si>
  <si>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</si>
  <si>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</si>
  <si>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</si>
  <si>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</si>
  <si>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</si>
  <si>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</si>
  <si>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</si>
  <si>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</si>
  <si>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</si>
  <si>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</si>
  <si>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</si>
  <si>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</si>
  <si>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</si>
  <si>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</si>
  <si>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</si>
  <si>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</si>
  <si>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</si>
  <si>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</si>
  <si>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</si>
  <si>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</si>
  <si>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</si>
  <si>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</si>
  <si>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</si>
  <si>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</si>
  <si>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</si>
  <si>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</si>
  <si>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</si>
  <si>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</si>
  <si>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</si>
  <si>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</si>
  <si>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</si>
  <si>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</si>
  <si>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</si>
  <si>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</si>
  <si>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</si>
  <si>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</si>
  <si>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</si>
  <si>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</si>
  <si>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</si>
  <si>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</si>
  <si>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</si>
  <si>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</si>
  <si>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</si>
  <si>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</si>
  <si>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</si>
  <si>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</si>
  <si>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</si>
  <si>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</si>
  <si>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</si>
  <si>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</si>
  <si>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</si>
  <si>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</si>
  <si>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</si>
  <si>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Cervero and Hansen (2002)</t>
  </si>
  <si>
    <t>California</t>
  </si>
  <si>
    <t>1976-1997</t>
  </si>
  <si>
    <t>Noland (2001)</t>
  </si>
  <si>
    <t>U.S.(States – all roadway types)</t>
  </si>
  <si>
    <t>1984-1996</t>
  </si>
  <si>
    <t>Nolandand Cowart (2000)</t>
  </si>
  <si>
    <t>U.S.(Metro Areas – Freeways and arterials)</t>
  </si>
  <si>
    <t>1982-1996</t>
  </si>
  <si>
    <t>Hansen and Huang (1997)</t>
  </si>
  <si>
    <t>1973-1990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</si>
  <si>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</si>
  <si>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</si>
  <si>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</si>
  <si>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</si>
  <si>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</si>
  <si>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</si>
  <si>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</si>
  <si>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</si>
  <si>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</si>
  <si>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</si>
  <si>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distance_to_transit_variable</t>
  </si>
  <si>
    <t>vmt_reduction_for_reduction_in_distance_to_transit</t>
  </si>
  <si>
    <t>elasticity</t>
  </si>
  <si>
    <t>equipment</t>
  </si>
  <si>
    <t>one_way_facility_length_miles_low</t>
  </si>
  <si>
    <t>one_way_facility_length_miles_high</t>
  </si>
  <si>
    <t>idling_fuel_use_gal_hr_no_load</t>
  </si>
  <si>
    <t>idling_fuel_use_gal_hr_with_load</t>
  </si>
  <si>
    <t>short-term</t>
  </si>
  <si>
    <t>intermediate term</t>
  </si>
  <si>
    <t>0.30 to 0.60</t>
  </si>
  <si>
    <t>0.70 to 1.00</t>
  </si>
  <si>
    <t>0.60 to 0.90</t>
  </si>
  <si>
    <t>ghgs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</si>
  <si>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</si>
  <si>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</si>
  <si>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</si>
  <si>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</si>
  <si>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</si>
  <si>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</si>
  <si>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</si>
  <si>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</si>
  <si>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Year</t>
  </si>
  <si>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</si>
  <si>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</si>
  <si>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</si>
  <si>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</si>
  <si>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</si>
  <si>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</si>
  <si>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</si>
  <si>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</si>
  <si>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</si>
  <si>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</si>
  <si>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</si>
  <si>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</si>
  <si>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</si>
  <si>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</si>
  <si>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</si>
  <si>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</si>
  <si>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</si>
  <si>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</si>
  <si>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</si>
  <si>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</si>
  <si>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</si>
  <si>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</si>
  <si>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</si>
  <si>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</si>
  <si>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</si>
  <si>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</si>
  <si>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</si>
  <si>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</si>
  <si>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</si>
  <si>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</si>
  <si>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</si>
  <si>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</si>
  <si>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</si>
  <si>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</si>
  <si>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</si>
  <si>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</si>
  <si>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Average of Fuel Economy Combined (kWh/100 mi)</t>
  </si>
  <si>
    <t>Light-Duty</t>
  </si>
  <si>
    <t>Medium-Duty</t>
  </si>
  <si>
    <t>Heavy-Duty</t>
  </si>
  <si>
    <t>Vehicle Type</t>
  </si>
  <si>
    <t>Fuel Efficiency (Wh/mi)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</si>
</sst>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200</v>
      </c>
      <c r="B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206</v>
      </c>
      <c r="H1" t="s">
        <v>207</v>
      </c>
    </row>
    <row r="2" spans="1:8" x14ac:dyDescent="0.25">
      <c r="A2" t="s">
        <v>208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209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210</v>
      </c>
      <c r="H3">
        <v>30</v>
      </c>
    </row>
    <row r="4" spans="1:8" x14ac:dyDescent="0.25">
      <c r="A4" t="s">
        <v>211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212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210</v>
      </c>
      <c r="G5" t="s">
        <v>210</v>
      </c>
      <c r="H5">
        <v>1</v>
      </c>
    </row>
    <row r="6" spans="1:8" x14ac:dyDescent="0.25">
      <c r="A6" t="s">
        <v>213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214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215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216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217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218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219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2</v>
      </c>
      <c r="B3" t="s">
        <v>4</v>
      </c>
    </row>
    <row r="4" spans="1:2" x14ac:dyDescent="0.25">
      <c r="A4" t="s">
        <v>5</v>
      </c>
      <c r="B4" t="s">
        <v>6</v>
      </c>
    </row>
    <row r="5" spans="1:2" x14ac:dyDescent="0.25">
      <c r="A5" t="s">
        <v>5</v>
      </c>
      <c r="B5" t="s">
        <v>7</v>
      </c>
    </row>
    <row r="6" spans="1:2" x14ac:dyDescent="0.25">
      <c r="A6" t="s">
        <v>8</v>
      </c>
      <c r="B6" t="s">
        <v>9</v>
      </c>
    </row>
    <row r="7" spans="1:2" x14ac:dyDescent="0.25">
      <c r="A7" t="s">
        <v>8</v>
      </c>
      <c r="B7" t="s">
        <v>10</v>
      </c>
    </row>
    <row r="8" spans="1:2" x14ac:dyDescent="0.25">
      <c r="A8" t="s">
        <v>11</v>
      </c>
      <c r="B8" t="s">
        <v>12</v>
      </c>
    </row>
    <row r="9" spans="1:2" x14ac:dyDescent="0.25">
      <c r="A9" t="s">
        <v>11</v>
      </c>
      <c r="B9" t="s">
        <v>13</v>
      </c>
    </row>
    <row r="10" spans="1:2" x14ac:dyDescent="0.25">
      <c r="A10" t="s">
        <v>14</v>
      </c>
      <c r="B10" t="s">
        <v>15</v>
      </c>
    </row>
    <row r="11" spans="1:2" x14ac:dyDescent="0.25">
      <c r="A11" t="s">
        <v>14</v>
      </c>
      <c r="B11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17</v>
      </c>
      <c r="B1" s="1" t="s">
        <v>18</v>
      </c>
      <c r="C1" s="1" t="s">
        <v>19</v>
      </c>
    </row>
    <row r="2" spans="1:3" x14ac:dyDescent="0.25">
      <c r="A2" t="s">
        <v>20</v>
      </c>
      <c r="B2">
        <v>4</v>
      </c>
      <c r="C2" t="s">
        <v>21</v>
      </c>
    </row>
    <row r="3" spans="1:3" x14ac:dyDescent="0.25">
      <c r="A3" t="s">
        <v>22</v>
      </c>
      <c r="B3">
        <v>5</v>
      </c>
      <c r="C3" t="s">
        <v>23</v>
      </c>
    </row>
    <row r="4" spans="1:3" x14ac:dyDescent="0.25">
      <c r="A4" t="s">
        <v>24</v>
      </c>
      <c r="B4">
        <v>7</v>
      </c>
      <c r="C4" t="s">
        <v>25</v>
      </c>
    </row>
    <row r="5" spans="1:3" x14ac:dyDescent="0.25">
      <c r="A5" t="s">
        <v>26</v>
      </c>
      <c r="B5">
        <v>8</v>
      </c>
      <c r="C5" t="s">
        <v>27</v>
      </c>
    </row>
    <row r="6" spans="1:3" x14ac:dyDescent="0.25">
      <c r="A6" t="s">
        <v>28</v>
      </c>
      <c r="B6">
        <v>10</v>
      </c>
      <c r="C6" t="s">
        <v>29</v>
      </c>
    </row>
    <row r="7" spans="1:3" x14ac:dyDescent="0.25">
      <c r="A7" t="s">
        <v>30</v>
      </c>
      <c r="B7">
        <v>14</v>
      </c>
      <c r="C7" t="s">
        <v>31</v>
      </c>
    </row>
    <row r="8" spans="1:3" x14ac:dyDescent="0.25">
      <c r="A8" t="s">
        <v>32</v>
      </c>
      <c r="B8">
        <v>20</v>
      </c>
      <c r="C8" t="s">
        <v>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8"/>
  <sheetViews>
    <sheetView workbookViewId="0">
      <selection activeCell="A7" sqref="A7"/>
    </sheetView>
  </sheetViews>
  <sheetFormatPr defaultRowHeight="15" x14ac:dyDescent="0.25"/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8"/>
  <sheetViews>
    <sheetView workbookViewId="0">
      <selection activeCell="C24" sqref="C24"/>
    </sheetView>
  </sheetViews>
  <sheetFormatPr defaultRowHeight="15" x14ac:dyDescent="0.25"/>
  <cols>
    <col min="2" max="2" width="21.28515625" customWidth="1"/>
    <col min="4" max="4" width="16" customWidth="1"/>
    <col min="5" max="5" width="22.85546875" customWidth="1"/>
    <col min="6" max="6" width="18.140625" customWidth="1"/>
  </cols>
  <sheetData>
    <row r="1" spans="1:7" s="1" customFormat="1" x14ac:dyDescent="0.25">
      <c r="A1" s="1" t="s">
        <v>199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</row>
    <row r="2" spans="1:7" x14ac:dyDescent="0.25">
      <c r="A2">
        <v>2024</v>
      </c>
      <c r="B2" t="s">
        <v>49</v>
      </c>
      <c r="C2">
        <v>402.09099600393307</v>
      </c>
      <c r="D2">
        <v>385.76113972610608</v>
      </c>
      <c r="E2">
        <v>355.23</v>
      </c>
      <c r="F2">
        <v>173.70809543307007</v>
      </c>
      <c r="G2" s="5"/>
    </row>
    <row r="3" spans="1:7" x14ac:dyDescent="0.25">
      <c r="A3">
        <f>A2+1</f>
        <v>2025</v>
      </c>
      <c r="B3" t="s">
        <v>49</v>
      </c>
      <c r="C3">
        <v>400.88831152650806</v>
      </c>
      <c r="D3">
        <v>385.37574254838285</v>
      </c>
      <c r="E3">
        <v>355.23</v>
      </c>
      <c r="F3">
        <v>172.5670640664591</v>
      </c>
    </row>
    <row r="4" spans="1:7" x14ac:dyDescent="0.25">
      <c r="A4">
        <f t="shared" ref="A4:A28" si="0">A3+1</f>
        <v>2026</v>
      </c>
      <c r="B4" t="s">
        <v>49</v>
      </c>
      <c r="C4">
        <v>399.70343681390216</v>
      </c>
      <c r="D4">
        <v>384.99230020414615</v>
      </c>
      <c r="E4">
        <v>355.23</v>
      </c>
      <c r="F4">
        <v>143.40359847510479</v>
      </c>
    </row>
    <row r="5" spans="1:7" x14ac:dyDescent="0.25">
      <c r="A5">
        <f t="shared" si="0"/>
        <v>2027</v>
      </c>
      <c r="B5" t="s">
        <v>49</v>
      </c>
      <c r="C5">
        <v>398.51856210129625</v>
      </c>
      <c r="D5">
        <v>384.60885785990951</v>
      </c>
      <c r="E5">
        <v>355.23</v>
      </c>
      <c r="F5">
        <v>109.68526766913477</v>
      </c>
    </row>
    <row r="6" spans="1:7" x14ac:dyDescent="0.25">
      <c r="A6">
        <f t="shared" si="0"/>
        <v>2028</v>
      </c>
      <c r="B6" t="s">
        <v>49</v>
      </c>
      <c r="C6">
        <v>397.33368738869029</v>
      </c>
      <c r="D6">
        <v>384.22541551567281</v>
      </c>
      <c r="E6">
        <v>355.23</v>
      </c>
      <c r="F6">
        <v>98.672025864749031</v>
      </c>
    </row>
    <row r="7" spans="1:7" x14ac:dyDescent="0.25">
      <c r="A7">
        <f t="shared" si="0"/>
        <v>2029</v>
      </c>
      <c r="B7" t="s">
        <v>49</v>
      </c>
      <c r="C7">
        <v>396.14881267608439</v>
      </c>
      <c r="D7">
        <v>383.84197317143617</v>
      </c>
      <c r="E7">
        <v>355.23</v>
      </c>
      <c r="F7">
        <v>83.28948559445395</v>
      </c>
    </row>
    <row r="8" spans="1:7" x14ac:dyDescent="0.25">
      <c r="A8">
        <f t="shared" si="0"/>
        <v>2030</v>
      </c>
      <c r="B8" t="s">
        <v>49</v>
      </c>
      <c r="C8">
        <v>394.96393796347849</v>
      </c>
      <c r="D8">
        <v>383.45853082719947</v>
      </c>
      <c r="E8">
        <v>355.23</v>
      </c>
      <c r="F8">
        <v>65.175204834506985</v>
      </c>
    </row>
    <row r="9" spans="1:7" x14ac:dyDescent="0.25">
      <c r="A9">
        <f t="shared" si="0"/>
        <v>2031</v>
      </c>
      <c r="B9" t="s">
        <v>49</v>
      </c>
      <c r="C9">
        <v>393.79655604146535</v>
      </c>
      <c r="D9">
        <v>383.0769711912564</v>
      </c>
      <c r="E9">
        <v>355.23</v>
      </c>
      <c r="F9">
        <v>63.556588043782199</v>
      </c>
    </row>
    <row r="10" spans="1:7" x14ac:dyDescent="0.25">
      <c r="A10">
        <f t="shared" si="0"/>
        <v>2032</v>
      </c>
      <c r="B10" t="s">
        <v>49</v>
      </c>
      <c r="C10">
        <v>392.62917411945216</v>
      </c>
      <c r="D10">
        <v>382.69541155531329</v>
      </c>
      <c r="E10">
        <v>355.23</v>
      </c>
      <c r="F10">
        <v>57.283165903017398</v>
      </c>
    </row>
    <row r="11" spans="1:7" x14ac:dyDescent="0.25">
      <c r="A11">
        <f t="shared" si="0"/>
        <v>2033</v>
      </c>
      <c r="B11" t="s">
        <v>49</v>
      </c>
      <c r="C11">
        <v>391.46179219743902</v>
      </c>
      <c r="D11">
        <v>382.31385191937022</v>
      </c>
      <c r="E11">
        <v>355.23</v>
      </c>
      <c r="F11">
        <v>59.464086737943013</v>
      </c>
    </row>
    <row r="12" spans="1:7" x14ac:dyDescent="0.25">
      <c r="A12">
        <f t="shared" si="0"/>
        <v>2034</v>
      </c>
      <c r="B12" t="s">
        <v>49</v>
      </c>
      <c r="C12">
        <v>390.29441027542583</v>
      </c>
      <c r="D12">
        <v>381.9322922834271</v>
      </c>
      <c r="E12">
        <v>355.23</v>
      </c>
      <c r="F12">
        <v>56.106255258862653</v>
      </c>
    </row>
    <row r="13" spans="1:7" x14ac:dyDescent="0.25">
      <c r="A13">
        <f t="shared" si="0"/>
        <v>2035</v>
      </c>
      <c r="B13" t="s">
        <v>49</v>
      </c>
      <c r="C13">
        <v>389.1270283534127</v>
      </c>
      <c r="D13">
        <v>381.55073264748404</v>
      </c>
      <c r="E13">
        <v>355.23</v>
      </c>
      <c r="F13">
        <v>55.368130671056228</v>
      </c>
    </row>
    <row r="14" spans="1:7" x14ac:dyDescent="0.25">
      <c r="A14">
        <f t="shared" si="0"/>
        <v>2036</v>
      </c>
      <c r="B14" t="s">
        <v>49</v>
      </c>
      <c r="C14">
        <v>387.97688933406653</v>
      </c>
      <c r="D14">
        <v>381.17107970939765</v>
      </c>
      <c r="E14">
        <v>355.23</v>
      </c>
      <c r="F14">
        <v>60.206276013093678</v>
      </c>
    </row>
    <row r="15" spans="1:7" x14ac:dyDescent="0.25">
      <c r="A15">
        <f t="shared" si="0"/>
        <v>2037</v>
      </c>
      <c r="B15" t="s">
        <v>49</v>
      </c>
      <c r="C15">
        <v>386.82675031472036</v>
      </c>
      <c r="D15">
        <v>380.79142677131125</v>
      </c>
      <c r="E15">
        <v>355.23</v>
      </c>
      <c r="F15">
        <v>62.315427293139635</v>
      </c>
    </row>
    <row r="16" spans="1:7" x14ac:dyDescent="0.25">
      <c r="A16">
        <f t="shared" si="0"/>
        <v>2038</v>
      </c>
      <c r="B16" t="s">
        <v>49</v>
      </c>
      <c r="C16">
        <v>385.67661129537419</v>
      </c>
      <c r="D16">
        <v>380.41177383322491</v>
      </c>
      <c r="E16">
        <v>355.23</v>
      </c>
      <c r="F16">
        <v>61.816106810884349</v>
      </c>
    </row>
    <row r="17" spans="1:6" x14ac:dyDescent="0.25">
      <c r="A17">
        <f t="shared" si="0"/>
        <v>2039</v>
      </c>
      <c r="B17" t="s">
        <v>49</v>
      </c>
      <c r="C17">
        <v>384.52647227602802</v>
      </c>
      <c r="D17">
        <v>380.03212089513852</v>
      </c>
      <c r="E17">
        <v>355.23</v>
      </c>
      <c r="F17">
        <v>58.823800232148258</v>
      </c>
    </row>
    <row r="18" spans="1:6" x14ac:dyDescent="0.25">
      <c r="A18">
        <f t="shared" si="0"/>
        <v>2040</v>
      </c>
      <c r="B18" t="s">
        <v>49</v>
      </c>
      <c r="C18">
        <v>383.37633325668185</v>
      </c>
      <c r="D18">
        <v>379.65246795705212</v>
      </c>
      <c r="E18">
        <v>355.23</v>
      </c>
      <c r="F18">
        <v>57.405552535408525</v>
      </c>
    </row>
    <row r="19" spans="1:6" x14ac:dyDescent="0.25">
      <c r="A19">
        <f t="shared" si="0"/>
        <v>2041</v>
      </c>
      <c r="B19" t="s">
        <v>49</v>
      </c>
      <c r="C19">
        <v>382.24321962407782</v>
      </c>
      <c r="D19">
        <v>379.27469817064213</v>
      </c>
      <c r="E19">
        <v>355.23</v>
      </c>
      <c r="F19">
        <v>58.615113654800858</v>
      </c>
    </row>
    <row r="20" spans="1:6" x14ac:dyDescent="0.25">
      <c r="A20">
        <f t="shared" si="0"/>
        <v>2042</v>
      </c>
      <c r="B20" t="s">
        <v>49</v>
      </c>
      <c r="C20">
        <v>381.1101059914738</v>
      </c>
      <c r="D20">
        <v>378.89692838423213</v>
      </c>
      <c r="E20">
        <v>355.23</v>
      </c>
      <c r="F20">
        <v>58.955981538192411</v>
      </c>
    </row>
    <row r="21" spans="1:6" x14ac:dyDescent="0.25">
      <c r="A21">
        <f t="shared" si="0"/>
        <v>2043</v>
      </c>
      <c r="B21" t="s">
        <v>49</v>
      </c>
      <c r="C21">
        <v>379.97699235886984</v>
      </c>
      <c r="D21">
        <v>378.51915859782207</v>
      </c>
      <c r="E21">
        <v>355.23</v>
      </c>
      <c r="F21">
        <v>57.9465204069718</v>
      </c>
    </row>
    <row r="22" spans="1:6" x14ac:dyDescent="0.25">
      <c r="A22">
        <f t="shared" si="0"/>
        <v>2044</v>
      </c>
      <c r="B22" t="s">
        <v>49</v>
      </c>
      <c r="C22">
        <v>378.84387872626581</v>
      </c>
      <c r="D22">
        <v>378.14138881141207</v>
      </c>
      <c r="E22">
        <v>355.23</v>
      </c>
      <c r="F22">
        <v>57.942674547100168</v>
      </c>
    </row>
    <row r="23" spans="1:6" x14ac:dyDescent="0.25">
      <c r="A23">
        <f t="shared" si="0"/>
        <v>2045</v>
      </c>
      <c r="B23" t="s">
        <v>49</v>
      </c>
      <c r="C23">
        <v>377.71076509366179</v>
      </c>
      <c r="D23">
        <v>377.76361902500207</v>
      </c>
      <c r="E23">
        <v>355.23</v>
      </c>
      <c r="F23">
        <v>53.046325294380466</v>
      </c>
    </row>
    <row r="24" spans="1:6" x14ac:dyDescent="0.25">
      <c r="A24">
        <f t="shared" si="0"/>
        <v>2046</v>
      </c>
      <c r="B24" t="s">
        <v>49</v>
      </c>
      <c r="C24">
        <v>376.59436175390186</v>
      </c>
      <c r="D24">
        <v>377.38775534709782</v>
      </c>
      <c r="E24">
        <v>355.23</v>
      </c>
      <c r="F24">
        <v>50.490808291211252</v>
      </c>
    </row>
    <row r="25" spans="1:6" x14ac:dyDescent="0.25">
      <c r="A25">
        <f t="shared" si="0"/>
        <v>2047</v>
      </c>
      <c r="B25" t="s">
        <v>49</v>
      </c>
      <c r="C25">
        <v>375.47795841414199</v>
      </c>
      <c r="D25">
        <v>377.01189166919357</v>
      </c>
      <c r="E25">
        <v>355.23</v>
      </c>
      <c r="F25">
        <v>50.763741298362916</v>
      </c>
    </row>
    <row r="26" spans="1:6" x14ac:dyDescent="0.25">
      <c r="A26">
        <f t="shared" si="0"/>
        <v>2048</v>
      </c>
      <c r="B26" t="s">
        <v>49</v>
      </c>
      <c r="C26">
        <v>374.36155507438207</v>
      </c>
      <c r="D26">
        <v>376.63602799128932</v>
      </c>
      <c r="E26">
        <v>355.23</v>
      </c>
      <c r="F26">
        <v>49.77822456167857</v>
      </c>
    </row>
    <row r="27" spans="1:6" x14ac:dyDescent="0.25">
      <c r="A27">
        <f t="shared" si="0"/>
        <v>2049</v>
      </c>
      <c r="B27" t="s">
        <v>49</v>
      </c>
      <c r="C27">
        <v>373.2451517346222</v>
      </c>
      <c r="D27">
        <v>376.26016431338508</v>
      </c>
      <c r="E27">
        <v>355.23</v>
      </c>
      <c r="F27">
        <v>48.587107382791636</v>
      </c>
    </row>
    <row r="28" spans="1:6" x14ac:dyDescent="0.25">
      <c r="A28">
        <f t="shared" si="0"/>
        <v>2050</v>
      </c>
      <c r="B28" t="s">
        <v>49</v>
      </c>
      <c r="C28">
        <v>372.12874839486227</v>
      </c>
      <c r="D28">
        <v>375.88430063548083</v>
      </c>
      <c r="E28">
        <v>355.23</v>
      </c>
      <c r="F28">
        <v>44.289379747526183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tabSelected="1" workbookViewId="0">
      <selection activeCell="C1" sqref="C1"/>
    </sheetView>
  </sheetViews>
  <sheetFormatPr defaultRowHeight="15" x14ac:dyDescent="0.25"/>
  <cols>
    <col min="1" max="1" width="16" customWidth="1"/>
    <col min="2" max="2" width="40.42578125" customWidth="1"/>
  </cols>
  <sheetData>
    <row r="1" spans="1:3" x14ac:dyDescent="0.25">
      <c r="A1" t="s">
        <v>240</v>
      </c>
      <c r="B1" t="s">
        <v>236</v>
      </c>
      <c r="C1" t="s">
        <v>241</v>
      </c>
    </row>
    <row r="2" spans="1:3" x14ac:dyDescent="0.25">
      <c r="A2" t="s">
        <v>237</v>
      </c>
      <c r="B2">
        <v>37.844029636270804</v>
      </c>
      <c r="C2">
        <v>2642.4247354504005</v>
      </c>
    </row>
    <row r="3" spans="1:3" x14ac:dyDescent="0.25">
      <c r="A3" t="s">
        <v>238</v>
      </c>
      <c r="B3">
        <v>145.51450894247785</v>
      </c>
      <c r="C3">
        <v>687.21669561851172</v>
      </c>
    </row>
    <row r="4" spans="1:3" x14ac:dyDescent="0.25">
      <c r="A4" t="s">
        <v>239</v>
      </c>
      <c r="B4">
        <v>158.85714285714286</v>
      </c>
      <c r="C4">
        <v>629.49640287769785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workbookViewId="0">
      <selection activeCell="D4" sqref="D4"/>
    </sheetView>
  </sheetViews>
  <sheetFormatPr defaultRowHeight="15" x14ac:dyDescent="0.25"/>
  <sheetData>
    <row r="1" spans="1:4" s="1" customFormat="1" x14ac:dyDescent="0.25">
      <c r="A1" s="1" t="s">
        <v>50</v>
      </c>
      <c r="B1" s="1" t="s">
        <v>51</v>
      </c>
      <c r="C1" s="1" t="s">
        <v>52</v>
      </c>
      <c r="D1" s="1" t="s">
        <v>53</v>
      </c>
    </row>
    <row r="2" spans="1:4" x14ac:dyDescent="0.25">
      <c r="A2" t="s">
        <v>54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55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56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57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58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59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60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61</v>
      </c>
      <c r="B1" s="1" t="s">
        <v>62</v>
      </c>
      <c r="C1" s="1" t="s">
        <v>63</v>
      </c>
      <c r="D1" s="1" t="s">
        <v>64</v>
      </c>
    </row>
    <row r="2" spans="1:4" x14ac:dyDescent="0.25">
      <c r="A2" t="s">
        <v>65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66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67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60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68</v>
      </c>
      <c r="B1" s="1" t="s">
        <v>177</v>
      </c>
      <c r="C1" s="1" t="s">
        <v>178</v>
      </c>
      <c r="D1" s="1"/>
    </row>
    <row r="2" spans="1:4" x14ac:dyDescent="0.25">
      <c r="A2" t="s">
        <v>69</v>
      </c>
      <c r="B2" t="s">
        <v>70</v>
      </c>
      <c r="C2" s="3">
        <v>-2.5000000000000001E-2</v>
      </c>
    </row>
    <row r="3" spans="1:4" x14ac:dyDescent="0.25">
      <c r="A3" t="s">
        <v>71</v>
      </c>
      <c r="B3" t="s">
        <v>72</v>
      </c>
      <c r="C3" s="3">
        <v>-1.2999999999999999E-2</v>
      </c>
    </row>
    <row r="4" spans="1:4" x14ac:dyDescent="0.25">
      <c r="A4" t="s">
        <v>73</v>
      </c>
      <c r="B4" t="s">
        <v>74</v>
      </c>
      <c r="C4" s="3">
        <v>-5.8000000000000003E-2</v>
      </c>
    </row>
    <row r="5" spans="1:4" x14ac:dyDescent="0.25">
      <c r="A5" t="s">
        <v>73</v>
      </c>
      <c r="B5" t="s">
        <v>75</v>
      </c>
      <c r="C5" s="3">
        <v>-0.02</v>
      </c>
    </row>
    <row r="6" spans="1:4" x14ac:dyDescent="0.25">
      <c r="A6" t="s">
        <v>76</v>
      </c>
      <c r="B6" t="s">
        <v>77</v>
      </c>
      <c r="C6" s="3">
        <v>-8.0000000000000002E-3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8"/>
  <sheetViews>
    <sheetView workbookViewId="0">
      <selection activeCell="A7" sqref="A7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34</v>
      </c>
      <c r="B1" s="1" t="s">
        <v>35</v>
      </c>
      <c r="C1" s="1" t="s">
        <v>36</v>
      </c>
    </row>
    <row r="2" spans="1:3" x14ac:dyDescent="0.25">
      <c r="A2" t="s">
        <v>37</v>
      </c>
      <c r="B2">
        <v>13.2</v>
      </c>
      <c r="C2">
        <v>0.62</v>
      </c>
    </row>
    <row r="3" spans="1:3" x14ac:dyDescent="0.25">
      <c r="A3" t="s">
        <v>38</v>
      </c>
      <c r="B3">
        <v>16.3</v>
      </c>
      <c r="C3">
        <v>0.70499999999999996</v>
      </c>
    </row>
    <row r="4" spans="1:3" x14ac:dyDescent="0.25">
      <c r="A4" t="s">
        <v>39</v>
      </c>
      <c r="B4">
        <v>38.799999999999997</v>
      </c>
      <c r="C4">
        <v>0.86699999999999999</v>
      </c>
    </row>
    <row r="5" spans="1:3" x14ac:dyDescent="0.25">
      <c r="A5" t="s">
        <v>40</v>
      </c>
      <c r="B5">
        <v>12.5</v>
      </c>
      <c r="C5">
        <v>0.62</v>
      </c>
    </row>
    <row r="6" spans="1:3" x14ac:dyDescent="0.25">
      <c r="A6" t="s">
        <v>41</v>
      </c>
      <c r="B6">
        <v>11.4</v>
      </c>
      <c r="C6">
        <v>0.68500000000000005</v>
      </c>
    </row>
    <row r="7" spans="1:3" x14ac:dyDescent="0.25">
      <c r="A7" t="s">
        <v>42</v>
      </c>
      <c r="B7">
        <v>9.1</v>
      </c>
      <c r="C7">
        <v>0.62</v>
      </c>
    </row>
    <row r="8" spans="1:3" x14ac:dyDescent="0.25">
      <c r="A8" t="s">
        <v>43</v>
      </c>
      <c r="B8">
        <v>9.1999999999999993</v>
      </c>
      <c r="C8">
        <v>0.62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topLeftCell="A4"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223</v>
      </c>
      <c r="B1" t="s">
        <v>224</v>
      </c>
      <c r="C1" t="s">
        <v>225</v>
      </c>
      <c r="D1" t="s">
        <v>226</v>
      </c>
      <c r="E1" t="s">
        <v>227</v>
      </c>
      <c r="F1" t="s">
        <v>228</v>
      </c>
      <c r="G1" t="s">
        <v>229</v>
      </c>
      <c r="H1" t="s">
        <v>207</v>
      </c>
      <c r="I1" t="s">
        <v>230</v>
      </c>
      <c r="J1" t="s">
        <v>231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232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232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233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234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233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234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235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235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232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232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233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233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235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235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78</v>
      </c>
      <c r="B1" s="1" t="s">
        <v>79</v>
      </c>
    </row>
    <row r="2" spans="1:2" x14ac:dyDescent="0.25">
      <c r="A2" t="s">
        <v>54</v>
      </c>
      <c r="B2" s="3">
        <v>5.8000000000000003E-2</v>
      </c>
    </row>
    <row r="3" spans="1:2" x14ac:dyDescent="0.25">
      <c r="A3" t="s">
        <v>55</v>
      </c>
      <c r="B3" s="3">
        <v>2.64E-2</v>
      </c>
    </row>
    <row r="4" spans="1:2" x14ac:dyDescent="0.25">
      <c r="A4" t="s">
        <v>56</v>
      </c>
      <c r="B4" s="3">
        <v>2.6700000000000002E-2</v>
      </c>
    </row>
    <row r="5" spans="1:2" x14ac:dyDescent="0.25">
      <c r="A5" t="s">
        <v>57</v>
      </c>
      <c r="B5" s="3">
        <v>4.8000000000000001E-2</v>
      </c>
    </row>
    <row r="6" spans="1:2" x14ac:dyDescent="0.25">
      <c r="A6" t="s">
        <v>58</v>
      </c>
      <c r="B6" s="3">
        <v>5.3100000000000001E-2</v>
      </c>
    </row>
    <row r="7" spans="1:2" x14ac:dyDescent="0.25">
      <c r="A7" t="s">
        <v>59</v>
      </c>
      <c r="B7" s="3">
        <v>9.4500000000000001E-2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179</v>
      </c>
      <c r="B1" s="1" t="s">
        <v>80</v>
      </c>
      <c r="C1" s="1" t="s">
        <v>81</v>
      </c>
      <c r="D1" s="1" t="s">
        <v>82</v>
      </c>
      <c r="E1" s="1" t="s">
        <v>83</v>
      </c>
      <c r="F1" s="1" t="s">
        <v>84</v>
      </c>
    </row>
    <row r="2" spans="1:6" x14ac:dyDescent="0.25">
      <c r="A2" t="s">
        <v>85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86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87</v>
      </c>
      <c r="B1" s="1" t="s">
        <v>88</v>
      </c>
      <c r="C1" s="1" t="s">
        <v>19</v>
      </c>
      <c r="D1" s="1" t="s">
        <v>89</v>
      </c>
    </row>
    <row r="2" spans="1:4" x14ac:dyDescent="0.25">
      <c r="A2" t="s">
        <v>90</v>
      </c>
      <c r="B2">
        <v>25</v>
      </c>
      <c r="C2" t="s">
        <v>91</v>
      </c>
      <c r="D2" t="s">
        <v>92</v>
      </c>
    </row>
    <row r="3" spans="1:4" x14ac:dyDescent="0.25">
      <c r="A3" t="s">
        <v>93</v>
      </c>
      <c r="B3" t="s">
        <v>94</v>
      </c>
      <c r="C3" t="s">
        <v>91</v>
      </c>
      <c r="D3" t="s">
        <v>92</v>
      </c>
    </row>
    <row r="4" spans="1:4" x14ac:dyDescent="0.25">
      <c r="A4" t="s">
        <v>95</v>
      </c>
      <c r="B4">
        <v>-0.4</v>
      </c>
      <c r="C4" t="s">
        <v>91</v>
      </c>
      <c r="D4" t="s">
        <v>92</v>
      </c>
    </row>
    <row r="5" spans="1:4" x14ac:dyDescent="0.25">
      <c r="A5" t="s">
        <v>96</v>
      </c>
      <c r="B5">
        <v>0.5</v>
      </c>
      <c r="C5" t="s">
        <v>97</v>
      </c>
      <c r="D5" t="s">
        <v>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88</v>
      </c>
      <c r="B1" s="1" t="s">
        <v>99</v>
      </c>
      <c r="C1" s="1" t="s">
        <v>100</v>
      </c>
      <c r="D1" s="1" t="s">
        <v>101</v>
      </c>
      <c r="E1" s="1" t="s">
        <v>102</v>
      </c>
    </row>
    <row r="2" spans="1:5" x14ac:dyDescent="0.25">
      <c r="A2" t="s">
        <v>103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104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180</v>
      </c>
      <c r="B1" s="1" t="s">
        <v>105</v>
      </c>
      <c r="C1" s="1" t="s">
        <v>106</v>
      </c>
    </row>
    <row r="2" spans="1:3" x14ac:dyDescent="0.25">
      <c r="A2" t="s">
        <v>107</v>
      </c>
      <c r="B2">
        <v>2</v>
      </c>
      <c r="C2">
        <v>2.34</v>
      </c>
    </row>
    <row r="3" spans="1:3" x14ac:dyDescent="0.25">
      <c r="A3" t="s">
        <v>108</v>
      </c>
      <c r="B3">
        <v>0.87</v>
      </c>
      <c r="C3">
        <v>1.1399999999999999</v>
      </c>
    </row>
    <row r="4" spans="1:3" x14ac:dyDescent="0.25">
      <c r="A4" t="s">
        <v>109</v>
      </c>
      <c r="B4">
        <v>7.44</v>
      </c>
      <c r="C4">
        <v>15</v>
      </c>
    </row>
    <row r="5" spans="1:3" x14ac:dyDescent="0.25">
      <c r="A5" t="s">
        <v>110</v>
      </c>
      <c r="B5">
        <v>12.9</v>
      </c>
      <c r="C5">
        <v>16.100000000000001</v>
      </c>
    </row>
    <row r="6" spans="1:3" x14ac:dyDescent="0.25">
      <c r="A6" t="s">
        <v>111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0"/>
  <sheetViews>
    <sheetView workbookViewId="0">
      <selection sqref="A1:D10"/>
    </sheetView>
  </sheetViews>
  <sheetFormatPr defaultRowHeight="15" x14ac:dyDescent="0.25"/>
  <sheetData>
    <row r="1" spans="1:4" s="1" customFormat="1" x14ac:dyDescent="0.25">
      <c r="A1" s="1" t="s">
        <v>112</v>
      </c>
      <c r="B1" s="1" t="s">
        <v>181</v>
      </c>
      <c r="C1" s="1" t="s">
        <v>182</v>
      </c>
      <c r="D1" s="1" t="s">
        <v>113</v>
      </c>
    </row>
    <row r="2" spans="1:4" x14ac:dyDescent="0.25">
      <c r="A2" t="s">
        <v>114</v>
      </c>
      <c r="B2">
        <v>1</v>
      </c>
      <c r="C2">
        <v>1</v>
      </c>
      <c r="D2">
        <v>1.9E-3</v>
      </c>
    </row>
    <row r="3" spans="1:4" x14ac:dyDescent="0.25">
      <c r="A3" t="s">
        <v>114</v>
      </c>
      <c r="B3">
        <v>1.01</v>
      </c>
      <c r="C3">
        <v>2</v>
      </c>
      <c r="D3">
        <v>2.8999999999999998E-3</v>
      </c>
    </row>
    <row r="4" spans="1:4" x14ac:dyDescent="0.25">
      <c r="A4" t="s">
        <v>114</v>
      </c>
      <c r="B4">
        <v>2</v>
      </c>
      <c r="D4">
        <v>3.8E-3</v>
      </c>
    </row>
    <row r="5" spans="1:4" x14ac:dyDescent="0.25">
      <c r="A5" t="s">
        <v>115</v>
      </c>
      <c r="B5">
        <v>1</v>
      </c>
      <c r="C5">
        <v>1</v>
      </c>
      <c r="D5">
        <v>1.4E-3</v>
      </c>
    </row>
    <row r="6" spans="1:4" x14ac:dyDescent="0.25">
      <c r="A6" t="s">
        <v>115</v>
      </c>
      <c r="B6">
        <v>1.01</v>
      </c>
      <c r="C6">
        <v>2</v>
      </c>
      <c r="D6">
        <v>2E-3</v>
      </c>
    </row>
    <row r="7" spans="1:4" x14ac:dyDescent="0.25">
      <c r="A7" t="s">
        <v>115</v>
      </c>
      <c r="B7">
        <v>2</v>
      </c>
      <c r="D7">
        <v>2.7000000000000001E-3</v>
      </c>
    </row>
    <row r="8" spans="1:4" x14ac:dyDescent="0.25">
      <c r="A8" t="s">
        <v>116</v>
      </c>
      <c r="B8">
        <v>1</v>
      </c>
      <c r="C8">
        <v>1</v>
      </c>
      <c r="D8">
        <v>1E-3</v>
      </c>
    </row>
    <row r="9" spans="1:4" x14ac:dyDescent="0.25">
      <c r="A9" t="s">
        <v>116</v>
      </c>
      <c r="B9">
        <v>1.01</v>
      </c>
      <c r="C9">
        <v>2</v>
      </c>
      <c r="D9">
        <v>1.4E-3</v>
      </c>
    </row>
    <row r="10" spans="1:4" x14ac:dyDescent="0.25">
      <c r="A10" t="s">
        <v>116</v>
      </c>
      <c r="B10">
        <v>2</v>
      </c>
      <c r="D10">
        <v>1.9E-3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117</v>
      </c>
      <c r="B1" s="1" t="s">
        <v>118</v>
      </c>
      <c r="C1" s="1" t="s">
        <v>119</v>
      </c>
    </row>
    <row r="2" spans="1:3" x14ac:dyDescent="0.25">
      <c r="A2" t="s">
        <v>120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121</v>
      </c>
      <c r="B4">
        <v>1E-3</v>
      </c>
      <c r="C4">
        <v>2E-3</v>
      </c>
    </row>
    <row r="5" spans="1:3" x14ac:dyDescent="0.25">
      <c r="A5" t="s">
        <v>122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123</v>
      </c>
      <c r="B1" s="1" t="s">
        <v>124</v>
      </c>
      <c r="C1" s="1" t="s">
        <v>125</v>
      </c>
      <c r="D1" s="1" t="s">
        <v>183</v>
      </c>
      <c r="E1" s="1" t="s">
        <v>184</v>
      </c>
    </row>
    <row r="2" spans="1:5" x14ac:dyDescent="0.25">
      <c r="A2" t="s">
        <v>126</v>
      </c>
      <c r="B2" t="s">
        <v>127</v>
      </c>
      <c r="D2">
        <v>0.16</v>
      </c>
      <c r="E2">
        <v>0.28999999999999998</v>
      </c>
    </row>
    <row r="3" spans="1:5" x14ac:dyDescent="0.25">
      <c r="A3" t="s">
        <v>128</v>
      </c>
      <c r="B3" t="s">
        <v>127</v>
      </c>
      <c r="D3">
        <v>0.39</v>
      </c>
      <c r="E3">
        <v>0.59</v>
      </c>
    </row>
    <row r="4" spans="1:5" x14ac:dyDescent="0.25">
      <c r="A4" t="s">
        <v>126</v>
      </c>
      <c r="B4" t="s">
        <v>129</v>
      </c>
      <c r="D4">
        <v>0.17</v>
      </c>
      <c r="E4">
        <v>0.39</v>
      </c>
    </row>
    <row r="5" spans="1:5" x14ac:dyDescent="0.25">
      <c r="A5" t="s">
        <v>130</v>
      </c>
      <c r="B5" t="s">
        <v>127</v>
      </c>
      <c r="C5" t="s">
        <v>131</v>
      </c>
      <c r="D5">
        <v>0.84</v>
      </c>
    </row>
    <row r="6" spans="1:5" x14ac:dyDescent="0.25">
      <c r="A6" t="s">
        <v>132</v>
      </c>
      <c r="B6" t="s">
        <v>129</v>
      </c>
      <c r="C6" s="4">
        <v>19500</v>
      </c>
      <c r="D6">
        <v>0.84</v>
      </c>
    </row>
    <row r="7" spans="1:5" x14ac:dyDescent="0.25">
      <c r="A7" t="s">
        <v>133</v>
      </c>
      <c r="B7" t="s">
        <v>129</v>
      </c>
      <c r="C7" s="4">
        <v>26000</v>
      </c>
      <c r="D7">
        <v>0.59</v>
      </c>
      <c r="E7">
        <v>1.1000000000000001</v>
      </c>
    </row>
    <row r="8" spans="1:5" x14ac:dyDescent="0.25">
      <c r="A8" t="s">
        <v>130</v>
      </c>
      <c r="B8" t="s">
        <v>129</v>
      </c>
      <c r="C8" t="s">
        <v>134</v>
      </c>
      <c r="D8">
        <v>0.44</v>
      </c>
      <c r="E8">
        <v>1.1399999999999999</v>
      </c>
    </row>
    <row r="9" spans="1:5" x14ac:dyDescent="0.25">
      <c r="A9" t="s">
        <v>135</v>
      </c>
      <c r="B9" t="s">
        <v>129</v>
      </c>
      <c r="C9" s="4">
        <v>30000</v>
      </c>
      <c r="D9">
        <v>0.97</v>
      </c>
    </row>
    <row r="10" spans="1:5" x14ac:dyDescent="0.25">
      <c r="A10" t="s">
        <v>136</v>
      </c>
      <c r="B10" t="s">
        <v>129</v>
      </c>
      <c r="C10" s="4">
        <v>32000</v>
      </c>
      <c r="D10">
        <v>0.49</v>
      </c>
    </row>
    <row r="11" spans="1:5" x14ac:dyDescent="0.25">
      <c r="A11" t="s">
        <v>137</v>
      </c>
      <c r="B11" t="s">
        <v>129</v>
      </c>
      <c r="C11" s="4">
        <v>37000</v>
      </c>
      <c r="D11">
        <v>0.9</v>
      </c>
      <c r="E11">
        <v>1.5</v>
      </c>
    </row>
    <row r="12" spans="1:5" x14ac:dyDescent="0.25">
      <c r="A12" t="s">
        <v>138</v>
      </c>
      <c r="B12" t="s">
        <v>129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68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 x14ac:dyDescent="0.25">
      <c r="A2" t="s">
        <v>143</v>
      </c>
      <c r="B2" t="s">
        <v>144</v>
      </c>
      <c r="C2" t="s">
        <v>145</v>
      </c>
      <c r="D2" t="s">
        <v>146</v>
      </c>
      <c r="E2" t="s">
        <v>147</v>
      </c>
    </row>
    <row r="3" spans="1:5" x14ac:dyDescent="0.25">
      <c r="A3" t="s">
        <v>148</v>
      </c>
      <c r="B3" t="s">
        <v>149</v>
      </c>
      <c r="C3" t="s">
        <v>150</v>
      </c>
      <c r="D3" t="s">
        <v>151</v>
      </c>
      <c r="E3" t="s">
        <v>152</v>
      </c>
    </row>
    <row r="4" spans="1:5" x14ac:dyDescent="0.25">
      <c r="A4" t="s">
        <v>153</v>
      </c>
      <c r="B4" t="s">
        <v>154</v>
      </c>
      <c r="C4" t="s">
        <v>155</v>
      </c>
      <c r="D4" t="s">
        <v>185</v>
      </c>
      <c r="E4">
        <v>0.1</v>
      </c>
    </row>
    <row r="5" spans="1:5" x14ac:dyDescent="0.25">
      <c r="A5" t="s">
        <v>153</v>
      </c>
      <c r="B5" t="s">
        <v>154</v>
      </c>
      <c r="C5" t="s">
        <v>155</v>
      </c>
      <c r="D5" t="s">
        <v>146</v>
      </c>
      <c r="E5">
        <v>0.39</v>
      </c>
    </row>
    <row r="6" spans="1:5" x14ac:dyDescent="0.25">
      <c r="A6" t="s">
        <v>156</v>
      </c>
      <c r="B6" t="s">
        <v>157</v>
      </c>
      <c r="C6" t="s">
        <v>158</v>
      </c>
      <c r="D6" t="s">
        <v>185</v>
      </c>
      <c r="E6">
        <v>0.59</v>
      </c>
    </row>
    <row r="7" spans="1:5" x14ac:dyDescent="0.25">
      <c r="A7" t="s">
        <v>156</v>
      </c>
      <c r="B7" t="s">
        <v>157</v>
      </c>
      <c r="C7" t="s">
        <v>158</v>
      </c>
      <c r="D7" t="s">
        <v>186</v>
      </c>
      <c r="E7">
        <v>0.79</v>
      </c>
    </row>
    <row r="8" spans="1:5" x14ac:dyDescent="0.25">
      <c r="A8" t="s">
        <v>159</v>
      </c>
      <c r="B8" t="s">
        <v>160</v>
      </c>
      <c r="C8" t="s">
        <v>161</v>
      </c>
      <c r="D8" t="s">
        <v>185</v>
      </c>
      <c r="E8" t="s">
        <v>187</v>
      </c>
    </row>
    <row r="9" spans="1:5" x14ac:dyDescent="0.25">
      <c r="A9" t="s">
        <v>159</v>
      </c>
      <c r="B9" t="s">
        <v>160</v>
      </c>
      <c r="C9" t="s">
        <v>161</v>
      </c>
      <c r="D9" t="s">
        <v>146</v>
      </c>
      <c r="E9" t="s">
        <v>188</v>
      </c>
    </row>
    <row r="10" spans="1:5" x14ac:dyDescent="0.25">
      <c r="A10" t="s">
        <v>162</v>
      </c>
      <c r="B10" t="s">
        <v>163</v>
      </c>
      <c r="C10" t="s">
        <v>164</v>
      </c>
      <c r="D10" t="s">
        <v>185</v>
      </c>
      <c r="E10">
        <v>0.28000000000000003</v>
      </c>
    </row>
    <row r="11" spans="1:5" x14ac:dyDescent="0.25">
      <c r="A11" t="s">
        <v>162</v>
      </c>
      <c r="B11" t="s">
        <v>163</v>
      </c>
      <c r="C11" t="s">
        <v>164</v>
      </c>
      <c r="D11" t="s">
        <v>146</v>
      </c>
      <c r="E11">
        <v>0.9</v>
      </c>
    </row>
    <row r="12" spans="1:5" x14ac:dyDescent="0.25">
      <c r="A12" t="s">
        <v>165</v>
      </c>
      <c r="B12" t="s">
        <v>157</v>
      </c>
      <c r="C12" t="s">
        <v>166</v>
      </c>
      <c r="D12" t="s">
        <v>185</v>
      </c>
      <c r="E12">
        <v>0.2</v>
      </c>
    </row>
    <row r="13" spans="1:5" x14ac:dyDescent="0.25">
      <c r="A13" t="s">
        <v>165</v>
      </c>
      <c r="B13" t="s">
        <v>157</v>
      </c>
      <c r="C13" t="s">
        <v>166</v>
      </c>
      <c r="D13" t="s">
        <v>146</v>
      </c>
      <c r="E13" t="s">
        <v>189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190</v>
      </c>
      <c r="B1" s="1" t="s">
        <v>167</v>
      </c>
      <c r="C1" s="1" t="s">
        <v>168</v>
      </c>
      <c r="D1" s="1" t="s">
        <v>169</v>
      </c>
      <c r="E1" s="1" t="s">
        <v>170</v>
      </c>
    </row>
    <row r="2" spans="1:5" x14ac:dyDescent="0.25">
      <c r="A2" t="s">
        <v>171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172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173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174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175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176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 x14ac:dyDescent="0.25">
      <c r="A2" t="s">
        <v>196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196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196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196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196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196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196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196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196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196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196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196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196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196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196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196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196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196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196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196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196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196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196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196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196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196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196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196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196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196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196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196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196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196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196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196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196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196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196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196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196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196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196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196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196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196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196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196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196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196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196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196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196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196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196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196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196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196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196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196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196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197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197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197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197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197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197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197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197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197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197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197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197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197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197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197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197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197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197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197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197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197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197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197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197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197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197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197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197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197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197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197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197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197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197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197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197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197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197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197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197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197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197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197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197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197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197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197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197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197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197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197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197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197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197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197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197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197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197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197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197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197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198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198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198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198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198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198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198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198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198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198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198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198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198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198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198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198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198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198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198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198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198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198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198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198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198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198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198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198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198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198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198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198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198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198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198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198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198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198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198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198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198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198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198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198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198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198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198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198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198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198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198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198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198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198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198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198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198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198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198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198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198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TripDistances</vt:lpstr>
      <vt:lpstr>ProjectTypes</vt:lpstr>
      <vt:lpstr>DefaultLifetime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Giesie, Mallory</dc:creator>
  <cp:lastModifiedBy>Giesie, Mallory</cp:lastModifiedBy>
  <dcterms:created xsi:type="dcterms:W3CDTF">2024-05-31T04:49:48Z</dcterms:created>
  <dcterms:modified xsi:type="dcterms:W3CDTF">2024-10-09T19:53:00Z</dcterms:modified>
</cp:coreProperties>
</file>