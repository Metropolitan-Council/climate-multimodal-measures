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cfonline-my.sharepoint.com/personal/61886_icf_com/Documents/Desktop/transport-emission-shiny/data/"/>
    </mc:Choice>
  </mc:AlternateContent>
  <xr:revisionPtr revIDLastSave="117" documentId="8_{BBC49CD7-68E0-4D8F-B576-EE14E509F0DE}" xr6:coauthVersionLast="47" xr6:coauthVersionMax="47" xr10:uidLastSave="{F87D0107-E08D-476B-984C-FE1C7AA834D2}"/>
  <bookViews>
    <workbookView xWindow="28680" yWindow="-120" windowWidth="29040" windowHeight="15720" firstSheet="8" activeTab="9" xr2:uid="{00000000-000D-0000-FFFF-FFFF00000000}"/>
  </bookViews>
  <sheets>
    <sheet name="TripDistances" sheetId="42" r:id="rId1"/>
    <sheet name="ProjectTypes" sheetId="1" r:id="rId2"/>
    <sheet name="DefaultLifetime" sheetId="2" r:id="rId3"/>
    <sheet name="TransitDependencyAdjustments" sheetId="4" r:id="rId4"/>
    <sheet name="GREETCarbonIntensity" sheetId="5" r:id="rId5"/>
    <sheet name="MobilityServiceVMTReduction" sheetId="6" r:id="rId6"/>
    <sheet name="OCTAMobilityHubVMT" sheetId="7" r:id="rId7"/>
    <sheet name="AccesstoTransitImpact" sheetId="8" r:id="rId8"/>
    <sheet name="AdjustmentFactorsAndTripLengths" sheetId="11" r:id="rId9"/>
    <sheet name="VMTByCommunityType" sheetId="44" r:id="rId10"/>
    <sheet name="TotalVMTReductionPotential" sheetId="12" r:id="rId11"/>
    <sheet name="ElasticityOfRidershipIncrease" sheetId="14" r:id="rId12"/>
    <sheet name="RecommendedBRTImpactAssumptions" sheetId="15" r:id="rId13"/>
    <sheet name="TripAndVMTModeShiftPotential" sheetId="19" r:id="rId14"/>
    <sheet name="EnergyEfficiencyForEVs" sheetId="20" r:id="rId15"/>
    <sheet name="ModeShiftFactor" sheetId="22" r:id="rId16"/>
    <sheet name="CreditForKeyDestinations" sheetId="23" r:id="rId17"/>
    <sheet name="FuelConsumptionAtIdle" sheetId="28" r:id="rId18"/>
    <sheet name="ImpactOfCapacityExpansion " sheetId="32" r:id="rId19"/>
    <sheet name="TotalLifecycleGHGs" sheetId="39" r:id="rId20"/>
    <sheet name="SocialCostCarbon" sheetId="40" r:id="rId21"/>
    <sheet name="FleetProportion" sheetId="41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3" i="5"/>
</calcChain>
</file>

<file path=xl/sharedStrings.xml><?xml version="1.0" encoding="utf-8"?>
<sst xmlns="http://schemas.openxmlformats.org/spreadsheetml/2006/main" count="561" uniqueCount="236">
  <si>
    <t>category</t>
  </si>
  <si>
    <t>project_type</t>
  </si>
  <si>
    <t>Electrification</t>
  </si>
  <si>
    <t>Electric Vehicle (EV) Education and Outreach</t>
  </si>
  <si>
    <t>Public Charging Infrastructure</t>
  </si>
  <si>
    <t>Transit</t>
  </si>
  <si>
    <t>New or Expanded Transit Service</t>
  </si>
  <si>
    <t>Mobility Hubs</t>
  </si>
  <si>
    <t>Travel Demand Management</t>
  </si>
  <si>
    <t>Employee Commute VMT Reduction</t>
  </si>
  <si>
    <t>Shared Mobility Programs</t>
  </si>
  <si>
    <t>Bicycle and Pedestrian Facilities</t>
  </si>
  <si>
    <t>Pedestrian Facilities</t>
  </si>
  <si>
    <t>Multi-Use Trails and Bicycle Facilities</t>
  </si>
  <si>
    <t>Roadways</t>
  </si>
  <si>
    <t>Intersection Delay Reductions</t>
  </si>
  <si>
    <t>Corridor Speed Improvement</t>
  </si>
  <si>
    <t>regional_solicitation_project_type</t>
  </si>
  <si>
    <t>default_project_lifetime_years</t>
  </si>
  <si>
    <t>source</t>
  </si>
  <si>
    <t>TDM – Employee Commute VMT Reduction</t>
  </si>
  <si>
    <t>U.S. Bureau of Labor Statistics (BLS)</t>
  </si>
  <si>
    <t>TDM – Micromobility</t>
  </si>
  <si>
    <t>Assumptions used by the Minnesota Department of Transportation (MnDOT) Carbon Reduction Strategy</t>
  </si>
  <si>
    <t>Traffic Management Technologies</t>
  </si>
  <si>
    <t>U.S. Department of Transportation (USDOT) Benefit-Cost Analysis Guidance</t>
  </si>
  <si>
    <t>Electrification Education and Outreach –Light Duty Personal, TDM – Carshare, TDM - Carpooling/Vanpooling</t>
  </si>
  <si>
    <t>Federal Transit Administration (FTA) Useful Life Benchmarks</t>
  </si>
  <si>
    <t>Public Infrastructure Deployment</t>
  </si>
  <si>
    <t>Assumptions used by the MnDOT for the National Electric Vehicle Infrastructure (NEVI) Formula Program</t>
  </si>
  <si>
    <t>Electrification Education and Outreach –Medium and Heavy-Duty Fleets and Commercial, Transit Expansion – New or Expanded Transit Service</t>
  </si>
  <si>
    <t>FTA Useful Life Benchmarks</t>
  </si>
  <si>
    <t>Spot Mobility and Safety, Strategic Capacity, Transit Hubs, Transit Expansion – Bus Rapid Transit Conversion, Transit Modernization, Bike &amp; Ped Facilities</t>
  </si>
  <si>
    <t>USDOT Benefit-Cost Analysis Guidance</t>
  </si>
  <si>
    <t>route_type</t>
  </si>
  <si>
    <t>average_trip_length_mi_trip</t>
  </si>
  <si>
    <t>adjustment_factor</t>
  </si>
  <si>
    <t>Bus Rapid Transit</t>
  </si>
  <si>
    <t>Commuter Express</t>
  </si>
  <si>
    <t>Commuter Rail</t>
  </si>
  <si>
    <t>Core Local</t>
  </si>
  <si>
    <t>Light Rail Transit</t>
  </si>
  <si>
    <t>Suburban Local</t>
  </si>
  <si>
    <t>Support</t>
  </si>
  <si>
    <t>fuel</t>
  </si>
  <si>
    <t>gasoline</t>
  </si>
  <si>
    <t>diesel</t>
  </si>
  <si>
    <t>compressed_natural_gas</t>
  </si>
  <si>
    <t>electricity</t>
  </si>
  <si>
    <t>WTW CI (gCO₂e/mi)</t>
  </si>
  <si>
    <t>element</t>
  </si>
  <si>
    <t>low_vmt_reduction_range</t>
  </si>
  <si>
    <t>high_vmt_reduction_range</t>
  </si>
  <si>
    <t>computed_average_vmt_reduction</t>
  </si>
  <si>
    <t>Pedestrian Facility</t>
  </si>
  <si>
    <t>Bike Share</t>
  </si>
  <si>
    <t>Scooter and Moped Share</t>
  </si>
  <si>
    <t>Bicycle Parking</t>
  </si>
  <si>
    <t>Car Share</t>
  </si>
  <si>
    <t>Microtransit</t>
  </si>
  <si>
    <t>Total</t>
  </si>
  <si>
    <t>transportation_mode</t>
  </si>
  <si>
    <t>vmt_reductions_due_to_mobility_service</t>
  </si>
  <si>
    <t>vmt_reduction_due_to_mobility_to_transit</t>
  </si>
  <si>
    <t>total_vmt_reductions_within_service_area</t>
  </si>
  <si>
    <t>Micro-mobility</t>
  </si>
  <si>
    <t>Micro-transit</t>
  </si>
  <si>
    <t>Rideshare/Carshare</t>
  </si>
  <si>
    <t>study</t>
  </si>
  <si>
    <t>Ewing and Cervero(2010)</t>
  </si>
  <si>
    <t>1 mile closer to transit, with no distinction for rail and bus, no outer distance for the effect</t>
  </si>
  <si>
    <t>Pushkar,Hollingworth, andMiller (2000)</t>
  </si>
  <si>
    <t>1 mile closer to rail station, from 2 miles to 1 mile from station, with no distinction for rail and bus</t>
  </si>
  <si>
    <t>Bailey,Mokhtarian, andLittle (2008)</t>
  </si>
  <si>
    <t>1 mile closer to rail station, within 2.25 miles of station</t>
  </si>
  <si>
    <t>¼ mile closer to bus stop, within 0.75 miles of bus stop</t>
  </si>
  <si>
    <t>Bento, Cropper,Mobarak, andVinha (2005)</t>
  </si>
  <si>
    <t>10% decrease in distance to a transit stop, with no distinction between rail and bus, no outer distance for the effect</t>
  </si>
  <si>
    <t>mobility_mode</t>
  </si>
  <si>
    <t>total_vmt_reduction_potential</t>
  </si>
  <si>
    <t>bus</t>
  </si>
  <si>
    <t>commuter_rail</t>
  </si>
  <si>
    <t>light_rail</t>
  </si>
  <si>
    <t>heavy_rail</t>
  </si>
  <si>
    <t>transit</t>
  </si>
  <si>
    <t>Vehicle Revenue Hours Elasticity</t>
  </si>
  <si>
    <t>Service Frequency Elasticity</t>
  </si>
  <si>
    <t>relevant_assumptions</t>
  </si>
  <si>
    <t>value</t>
  </si>
  <si>
    <t>geographic_location</t>
  </si>
  <si>
    <t>Percent Change in transit ridership due to BRT</t>
  </si>
  <si>
    <t>Transportation Research Board</t>
  </si>
  <si>
    <t>National/International study</t>
  </si>
  <si>
    <t>Percent change in travel time due to BRT</t>
  </si>
  <si>
    <t>-10 to -20</t>
  </si>
  <si>
    <t>Elasticity of transit ridership WRT transit travel time</t>
  </si>
  <si>
    <t>Elasticity of transit ridership WRT service frequency</t>
  </si>
  <si>
    <t>Handy et al.</t>
  </si>
  <si>
    <t>California-specific</t>
  </si>
  <si>
    <t>competitive_to_switch_to_walk</t>
  </si>
  <si>
    <t>competitive_to_switch_to_bike</t>
  </si>
  <si>
    <t>competitive_to_switch_to_transit</t>
  </si>
  <si>
    <t>competitive_to_switch_to_all_alternative_modes</t>
  </si>
  <si>
    <t>Percent of Car Trips</t>
  </si>
  <si>
    <t>Percent of VMT that Could be Eliminated</t>
  </si>
  <si>
    <t>average_certified_energy_consumption_kwh_100_mile</t>
  </si>
  <si>
    <t>average_real_world_energy_consumption_kwh_100_mile</t>
  </si>
  <si>
    <t>Stand-up and kick scooters</t>
  </si>
  <si>
    <t>E-bikes and bike-like three-wheelers</t>
  </si>
  <si>
    <t>Larger two- and three-wheelers, including mopeds, step-through scooters, motorcycles</t>
  </si>
  <si>
    <t>Car-like three- and four-wheelers</t>
  </si>
  <si>
    <t>Passenger cars</t>
  </si>
  <si>
    <t>average_daily_traffic_vehicle_trips_per_day</t>
  </si>
  <si>
    <t>mode_shift_factor_m</t>
  </si>
  <si>
    <t>1 to 12,000</t>
  </si>
  <si>
    <t>12,001 to 24,000</t>
  </si>
  <si>
    <t>24,001 to 30,000</t>
  </si>
  <si>
    <t>number_of_key_destinations</t>
  </si>
  <si>
    <t>credit_within_1_2_mile_of_facility_c</t>
  </si>
  <si>
    <t>credit_within_1_4_mile_of_facility_c</t>
  </si>
  <si>
    <t>0 to 2</t>
  </si>
  <si>
    <t>4 to 6</t>
  </si>
  <si>
    <t>7 or more</t>
  </si>
  <si>
    <t>vehicle_type</t>
  </si>
  <si>
    <t>fuel_type</t>
  </si>
  <si>
    <t>gross_vehicle_weight_lbs</t>
  </si>
  <si>
    <t>Compact Sedan</t>
  </si>
  <si>
    <t>Gas</t>
  </si>
  <si>
    <t>Large Sedan</t>
  </si>
  <si>
    <t>Diesel</t>
  </si>
  <si>
    <t>Medium Heavy Truck</t>
  </si>
  <si>
    <t>19,700-26,000</t>
  </si>
  <si>
    <t>Delivery Truck</t>
  </si>
  <si>
    <t>Tow Truck</t>
  </si>
  <si>
    <t>23,000-33,000</t>
  </si>
  <si>
    <t>Transit Bus</t>
  </si>
  <si>
    <t>Combination Truck</t>
  </si>
  <si>
    <t>Bucket Truck</t>
  </si>
  <si>
    <t>Tractor-Semitrailer</t>
  </si>
  <si>
    <t>study_location_and_type</t>
  </si>
  <si>
    <t>study_years</t>
  </si>
  <si>
    <t>time_period</t>
  </si>
  <si>
    <t>elasticity_change_in_vmt_change_in_lane_miles</t>
  </si>
  <si>
    <t>Hymel (2019)</t>
  </si>
  <si>
    <t>U.S (States)</t>
  </si>
  <si>
    <t>1981-2015</t>
  </si>
  <si>
    <t>long-term</t>
  </si>
  <si>
    <t>0.89 to 1.06</t>
  </si>
  <si>
    <t>Duranton and Turner (2011)</t>
  </si>
  <si>
    <t>U.S. (MSAs – Interstates)</t>
  </si>
  <si>
    <t>1983-2003</t>
  </si>
  <si>
    <t>10 years</t>
  </si>
  <si>
    <t>0.93 to 1.03</t>
  </si>
  <si>
    <t>Cervero (2003)</t>
  </si>
  <si>
    <t>California(Freeway Corridors)</t>
  </si>
  <si>
    <t>1980-1994</t>
  </si>
  <si>
    <t>Cervero and Hansen (2002)</t>
  </si>
  <si>
    <t>California</t>
  </si>
  <si>
    <t>1976-1997</t>
  </si>
  <si>
    <t>Noland (2001)</t>
  </si>
  <si>
    <t>U.S.(States – all roadway types)</t>
  </si>
  <si>
    <t>1984-1996</t>
  </si>
  <si>
    <t>Nolandand Cowart (2000)</t>
  </si>
  <si>
    <t>U.S.(Metro Areas – Freeways and arterials)</t>
  </si>
  <si>
    <t>1982-1996</t>
  </si>
  <si>
    <t>Hansen and Huang (1997)</t>
  </si>
  <si>
    <t>1973-1990</t>
  </si>
  <si>
    <t>icev_conventional_material</t>
  </si>
  <si>
    <t>icev_lightweight_material</t>
  </si>
  <si>
    <t>ev_conventional_material</t>
  </si>
  <si>
    <t>ev_lightweight_material</t>
  </si>
  <si>
    <t>Lifetime Vehicle Manufacturing (gCO2e)</t>
  </si>
  <si>
    <t>Unit Vehicle Manufacturing (gCO2e/mile)</t>
  </si>
  <si>
    <t>Fuel Consumption (gCO2e/mile)</t>
  </si>
  <si>
    <t>%, Manufacturing Compared to Fuel</t>
  </si>
  <si>
    <t>Manufacturing + Fuel (gCO2e/mile)</t>
  </si>
  <si>
    <t>EV-ICEV Difference %</t>
  </si>
  <si>
    <t>distance_to_transit_variable</t>
  </si>
  <si>
    <t>vmt_reduction_for_reduction_in_distance_to_transit</t>
  </si>
  <si>
    <t>elasticity</t>
  </si>
  <si>
    <t>equipment</t>
  </si>
  <si>
    <t>one_way_facility_length_miles_low</t>
  </si>
  <si>
    <t>one_way_facility_length_miles_high</t>
  </si>
  <si>
    <t>idling_fuel_use_gal_hr_no_load</t>
  </si>
  <si>
    <t>idling_fuel_use_gal_hr_with_load</t>
  </si>
  <si>
    <t>short-term</t>
  </si>
  <si>
    <t>intermediate term</t>
  </si>
  <si>
    <t>0.30 to 0.60</t>
  </si>
  <si>
    <t>0.70 to 1.00</t>
  </si>
  <si>
    <t>0.60 to 0.90</t>
  </si>
  <si>
    <t>ghgs</t>
  </si>
  <si>
    <t>gas</t>
  </si>
  <si>
    <t>emission.year</t>
  </si>
  <si>
    <t>2.5% Ramsey</t>
  </si>
  <si>
    <t>2.0% Ramsey</t>
  </si>
  <si>
    <t>1.5% Ramsey</t>
  </si>
  <si>
    <t>CO2</t>
  </si>
  <si>
    <t>CH4</t>
  </si>
  <si>
    <t>N2O</t>
  </si>
  <si>
    <t>Year</t>
  </si>
  <si>
    <t>mode_type</t>
  </si>
  <si>
    <t>distance_avg</t>
  </si>
  <si>
    <t>distance_avg_low</t>
  </si>
  <si>
    <t>distance_avg_upp</t>
  </si>
  <si>
    <t>distance_median</t>
  </si>
  <si>
    <t>distance_median_low</t>
  </si>
  <si>
    <t>distance_median_upp</t>
  </si>
  <si>
    <t>count</t>
  </si>
  <si>
    <t>Bicycle</t>
  </si>
  <si>
    <t>For-Hire Vehicle</t>
  </si>
  <si>
    <t>NA</t>
  </si>
  <si>
    <t>Household Vehicle</t>
  </si>
  <si>
    <t>Long distance passenger mode</t>
  </si>
  <si>
    <t>Micromobility</t>
  </si>
  <si>
    <t>Missing</t>
  </si>
  <si>
    <t>Other</t>
  </si>
  <si>
    <t>Other Bus</t>
  </si>
  <si>
    <t>Other Vehicle</t>
  </si>
  <si>
    <t>Public Bus</t>
  </si>
  <si>
    <t>Rail</t>
  </si>
  <si>
    <t>School Bus</t>
  </si>
  <si>
    <t>Smartphone ridehailing service</t>
  </si>
  <si>
    <t>Walk</t>
  </si>
  <si>
    <t>survey_year</t>
  </si>
  <si>
    <t>vmt_mid</t>
  </si>
  <si>
    <t>vmt_mid_low</t>
  </si>
  <si>
    <t>vmt_mid_upp</t>
  </si>
  <si>
    <t>vmt</t>
  </si>
  <si>
    <t>vmt_low</t>
  </si>
  <si>
    <t>vmt_upp</t>
  </si>
  <si>
    <t>cd_year</t>
  </si>
  <si>
    <t>CD</t>
  </si>
  <si>
    <t>Urban</t>
  </si>
  <si>
    <t>Suburban</t>
  </si>
  <si>
    <t>Suburban Edge</t>
  </si>
  <si>
    <t>Rural / Non-Council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</si>
</sst>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8181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9" fontId="0" fillId="0" borderId="0" xfId="0" applyNumberFormat="1"/>
    <xf numFmtId="10" fontId="0" fillId="0" borderId="0" xfId="0" applyNumberFormat="1"/>
    <xf numFmtId="3" fontId="0" fillId="0" borderId="0" xfId="0" applyNumberFormat="1"/>
    <xf numFmtId="0" fontId="2" fillId="0" borderId="0" xfId="0" applyFont="1"/>
    <xf numFmtId="0" fontId="1" fillId="0" borderId="0" xfId="0" applyFont="1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2DC05-FA87-40E6-A32B-A06CC074627B}">
  <dimension ref="A1:H15"/>
  <sheetViews>
    <sheetView workbookViewId="0"/>
  </sheetViews>
  <sheetFormatPr defaultRowHeight="15" x14ac:dyDescent="0.25"/>
  <sheetData>
    <row r="1" spans="1:8" x14ac:dyDescent="0.25">
      <c r="A1" t="s">
        <v>200</v>
      </c>
      <c r="B1" t="s">
        <v>201</v>
      </c>
      <c r="C1" t="s">
        <v>202</v>
      </c>
      <c r="D1" t="s">
        <v>203</v>
      </c>
      <c r="E1" t="s">
        <v>204</v>
      </c>
      <c r="F1" t="s">
        <v>205</v>
      </c>
      <c r="G1" t="s">
        <v>206</v>
      </c>
      <c r="H1" t="s">
        <v>207</v>
      </c>
    </row>
    <row r="2" spans="1:8" x14ac:dyDescent="0.25">
      <c r="A2" t="s">
        <v>208</v>
      </c>
      <c r="B2">
        <v>2.9749119231916001</v>
      </c>
      <c r="C2">
        <v>2.4119651827793902</v>
      </c>
      <c r="D2">
        <v>3.5378586636037999</v>
      </c>
      <c r="E2">
        <v>1.54680046864397</v>
      </c>
      <c r="F2">
        <v>1.23623681666273</v>
      </c>
      <c r="G2">
        <v>2.0965177550660798</v>
      </c>
      <c r="H2">
        <v>537</v>
      </c>
    </row>
    <row r="3" spans="1:8" x14ac:dyDescent="0.25">
      <c r="A3" t="s">
        <v>209</v>
      </c>
      <c r="B3">
        <v>3.6999170502861798</v>
      </c>
      <c r="C3">
        <v>2.5538506463772901</v>
      </c>
      <c r="D3">
        <v>4.8459834541950704</v>
      </c>
      <c r="E3">
        <v>4.2547154693920097</v>
      </c>
      <c r="F3">
        <v>4.2547154693920097</v>
      </c>
      <c r="G3" t="s">
        <v>210</v>
      </c>
      <c r="H3">
        <v>30</v>
      </c>
    </row>
    <row r="4" spans="1:8" x14ac:dyDescent="0.25">
      <c r="A4" t="s">
        <v>211</v>
      </c>
      <c r="B4">
        <v>5.9016230035503296</v>
      </c>
      <c r="C4">
        <v>5.7355947620142604</v>
      </c>
      <c r="D4">
        <v>6.0676512450864104</v>
      </c>
      <c r="E4">
        <v>3.6316722396401402</v>
      </c>
      <c r="F4">
        <v>3.5184190209222801</v>
      </c>
      <c r="G4">
        <v>3.7296255253294799</v>
      </c>
      <c r="H4">
        <v>24661</v>
      </c>
    </row>
    <row r="5" spans="1:8" x14ac:dyDescent="0.25">
      <c r="A5" t="s">
        <v>212</v>
      </c>
      <c r="B5">
        <v>3.8634645109851302</v>
      </c>
      <c r="C5">
        <v>3.8634645109851302</v>
      </c>
      <c r="D5">
        <v>3.8634645109851302</v>
      </c>
      <c r="E5">
        <v>3.8634645109851302</v>
      </c>
      <c r="F5" t="s">
        <v>210</v>
      </c>
      <c r="G5" t="s">
        <v>210</v>
      </c>
      <c r="H5">
        <v>1</v>
      </c>
    </row>
    <row r="6" spans="1:8" x14ac:dyDescent="0.25">
      <c r="A6" t="s">
        <v>213</v>
      </c>
      <c r="B6">
        <v>0.71198948216291502</v>
      </c>
      <c r="C6">
        <v>0.389736805991869</v>
      </c>
      <c r="D6">
        <v>1.03424215833396</v>
      </c>
      <c r="E6">
        <v>0.50182283165373298</v>
      </c>
      <c r="F6">
        <v>0.34792776009053</v>
      </c>
      <c r="G6">
        <v>1.48653150978066</v>
      </c>
      <c r="H6">
        <v>8</v>
      </c>
    </row>
    <row r="7" spans="1:8" x14ac:dyDescent="0.25">
      <c r="A7" t="s">
        <v>214</v>
      </c>
      <c r="B7">
        <v>0.97570910188785598</v>
      </c>
      <c r="C7">
        <v>0.678877459679468</v>
      </c>
      <c r="D7">
        <v>1.27254074409624</v>
      </c>
      <c r="E7">
        <v>0.30579813491132901</v>
      </c>
      <c r="F7">
        <v>0.26405217382669199</v>
      </c>
      <c r="G7">
        <v>0.38299261169806598</v>
      </c>
      <c r="H7">
        <v>744</v>
      </c>
    </row>
    <row r="8" spans="1:8" x14ac:dyDescent="0.25">
      <c r="A8" t="s">
        <v>215</v>
      </c>
      <c r="B8">
        <v>6.4778152091502204</v>
      </c>
      <c r="C8">
        <v>3.9201240751621702</v>
      </c>
      <c r="D8">
        <v>9.0355063431382696</v>
      </c>
      <c r="E8">
        <v>3.1503708159140298</v>
      </c>
      <c r="F8">
        <v>1.98401869924806</v>
      </c>
      <c r="G8">
        <v>5.0317932725823402</v>
      </c>
      <c r="H8">
        <v>172</v>
      </c>
    </row>
    <row r="9" spans="1:8" x14ac:dyDescent="0.25">
      <c r="A9" t="s">
        <v>216</v>
      </c>
      <c r="B9">
        <v>7.7004599845074297</v>
      </c>
      <c r="C9">
        <v>0.19012344959704799</v>
      </c>
      <c r="D9">
        <v>15.2107965194178</v>
      </c>
      <c r="E9">
        <v>3.5798176526679</v>
      </c>
      <c r="F9">
        <v>2.1826241499209398</v>
      </c>
      <c r="G9">
        <v>5.53153176776941</v>
      </c>
      <c r="H9">
        <v>61</v>
      </c>
    </row>
    <row r="10" spans="1:8" x14ac:dyDescent="0.25">
      <c r="A10" t="s">
        <v>217</v>
      </c>
      <c r="B10">
        <v>5.8322002863550404</v>
      </c>
      <c r="C10">
        <v>5.2493400278704199</v>
      </c>
      <c r="D10">
        <v>6.4150605448396503</v>
      </c>
      <c r="E10">
        <v>3.4341547328826598</v>
      </c>
      <c r="F10">
        <v>2.84192477033208</v>
      </c>
      <c r="G10">
        <v>3.8088495422747601</v>
      </c>
      <c r="H10">
        <v>1699</v>
      </c>
    </row>
    <row r="11" spans="1:8" x14ac:dyDescent="0.25">
      <c r="A11" t="s">
        <v>218</v>
      </c>
      <c r="B11">
        <v>5.2559515730838502</v>
      </c>
      <c r="C11">
        <v>4.3340884063229499</v>
      </c>
      <c r="D11">
        <v>6.1778147398447603</v>
      </c>
      <c r="E11">
        <v>3.90877999838896</v>
      </c>
      <c r="F11">
        <v>2.5543898528153401</v>
      </c>
      <c r="G11">
        <v>4.75539530008502</v>
      </c>
      <c r="H11">
        <v>648</v>
      </c>
    </row>
    <row r="12" spans="1:8" x14ac:dyDescent="0.25">
      <c r="A12" t="s">
        <v>219</v>
      </c>
      <c r="B12">
        <v>4.3043541561638703</v>
      </c>
      <c r="C12">
        <v>3.5978914187361402</v>
      </c>
      <c r="D12">
        <v>5.0108168935915902</v>
      </c>
      <c r="E12">
        <v>3.4614622327978899</v>
      </c>
      <c r="F12">
        <v>2.7029974008196498</v>
      </c>
      <c r="G12">
        <v>5.7456170381036502</v>
      </c>
      <c r="H12">
        <v>203</v>
      </c>
    </row>
    <row r="13" spans="1:8" x14ac:dyDescent="0.25">
      <c r="A13" t="s">
        <v>220</v>
      </c>
      <c r="B13">
        <v>4.4554427783066402</v>
      </c>
      <c r="C13">
        <v>2.9360163676167201</v>
      </c>
      <c r="D13">
        <v>5.9748691889965704</v>
      </c>
      <c r="E13">
        <v>2.05524454125531</v>
      </c>
      <c r="F13">
        <v>1.8132993857604001</v>
      </c>
      <c r="G13">
        <v>2.6033558726978798</v>
      </c>
      <c r="H13">
        <v>296</v>
      </c>
    </row>
    <row r="14" spans="1:8" x14ac:dyDescent="0.25">
      <c r="A14" t="s">
        <v>221</v>
      </c>
      <c r="B14">
        <v>5.8745743082736501</v>
      </c>
      <c r="C14">
        <v>4.7868159756589401</v>
      </c>
      <c r="D14">
        <v>6.9623326408883504</v>
      </c>
      <c r="E14">
        <v>5.6432568002624199</v>
      </c>
      <c r="F14">
        <v>2.5407774758494401</v>
      </c>
      <c r="G14">
        <v>6.4024709173268803</v>
      </c>
      <c r="H14">
        <v>176</v>
      </c>
    </row>
    <row r="15" spans="1:8" x14ac:dyDescent="0.25">
      <c r="A15" t="s">
        <v>222</v>
      </c>
      <c r="B15">
        <v>0.85801128591603704</v>
      </c>
      <c r="C15">
        <v>0.69649622674294198</v>
      </c>
      <c r="D15">
        <v>1.0195263450891301</v>
      </c>
      <c r="E15">
        <v>0.368423768732074</v>
      </c>
      <c r="F15">
        <v>0.34324348797476201</v>
      </c>
      <c r="G15">
        <v>0.39342064566496898</v>
      </c>
      <c r="H15">
        <v>4415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C10" sqref="C10"/>
    </sheetView>
  </sheetViews>
  <sheetFormatPr defaultRowHeight="15" x14ac:dyDescent="0.25"/>
  <cols>
    <col min="1" max="1" width="31.140625" customWidth="1"/>
    <col min="2" max="2" width="46.425781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5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8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11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14</v>
      </c>
      <c r="B1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F38" sqref="F38"/>
    </sheetView>
  </sheetViews>
  <sheetFormatPr defaultRowHeight="15" x14ac:dyDescent="0.25"/>
  <sheetData>
    <row r="1" spans="1:3" s="1" customFormat="1" x14ac:dyDescent="0.25">
      <c r="A1" s="1" t="s">
        <v>17</v>
      </c>
      <c r="B1" s="1" t="s">
        <v>18</v>
      </c>
      <c r="C1" s="1" t="s">
        <v>19</v>
      </c>
    </row>
    <row r="2" spans="1:3" x14ac:dyDescent="0.25">
      <c r="A2" t="s">
        <v>20</v>
      </c>
      <c r="B2">
        <v>4</v>
      </c>
      <c r="C2" t="s">
        <v>21</v>
      </c>
    </row>
    <row r="3" spans="1:3" x14ac:dyDescent="0.25">
      <c r="A3" t="s">
        <v>22</v>
      </c>
      <c r="B3">
        <v>5</v>
      </c>
      <c r="C3" t="s">
        <v>23</v>
      </c>
    </row>
    <row r="4" spans="1:3" x14ac:dyDescent="0.25">
      <c r="A4" t="s">
        <v>24</v>
      </c>
      <c r="B4">
        <v>7</v>
      </c>
      <c r="C4" t="s">
        <v>25</v>
      </c>
    </row>
    <row r="5" spans="1:3" x14ac:dyDescent="0.25">
      <c r="A5" t="s">
        <v>26</v>
      </c>
      <c r="B5">
        <v>8</v>
      </c>
      <c r="C5" t="s">
        <v>27</v>
      </c>
    </row>
    <row r="6" spans="1:3" x14ac:dyDescent="0.25">
      <c r="A6" t="s">
        <v>28</v>
      </c>
      <c r="B6">
        <v>10</v>
      </c>
      <c r="C6" t="s">
        <v>29</v>
      </c>
    </row>
    <row r="7" spans="1:3" x14ac:dyDescent="0.25">
      <c r="A7" t="s">
        <v>30</v>
      </c>
      <c r="B7">
        <v>14</v>
      </c>
      <c r="C7" t="s">
        <v>31</v>
      </c>
    </row>
    <row r="8" spans="1:3" x14ac:dyDescent="0.25">
      <c r="A8" t="s">
        <v>32</v>
      </c>
      <c r="B8">
        <v>20</v>
      </c>
      <c r="C8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>
      <selection activeCell="A7" sqref="A7"/>
    </sheetView>
  </sheetViews>
  <sheetFormatPr defaultRowHeight="15" x14ac:dyDescent="0.25"/>
  <sheetData>
    <row r="1" spans="1:3" s="1" customFormat="1" x14ac:dyDescent="0.25">
      <c r="A1" s="1" t="s">
        <v>34</v>
      </c>
      <c r="B1" s="1" t="s">
        <v>35</v>
      </c>
      <c r="C1" s="1" t="s">
        <v>36</v>
      </c>
    </row>
    <row r="2" spans="1:3" x14ac:dyDescent="0.25">
      <c r="A2" t="s">
        <v>37</v>
      </c>
      <c r="B2">
        <v>13.2</v>
      </c>
      <c r="C2">
        <v>0.62</v>
      </c>
    </row>
    <row r="3" spans="1:3" x14ac:dyDescent="0.25">
      <c r="A3" t="s">
        <v>38</v>
      </c>
      <c r="B3">
        <v>16.3</v>
      </c>
      <c r="C3">
        <v>0.70499999999999996</v>
      </c>
    </row>
    <row r="4" spans="1:3" x14ac:dyDescent="0.25">
      <c r="A4" t="s">
        <v>39</v>
      </c>
      <c r="B4">
        <v>38.799999999999997</v>
      </c>
      <c r="C4">
        <v>0.86699999999999999</v>
      </c>
    </row>
    <row r="5" spans="1:3" x14ac:dyDescent="0.25">
      <c r="A5" t="s">
        <v>40</v>
      </c>
      <c r="B5">
        <v>12.5</v>
      </c>
      <c r="C5">
        <v>0.62</v>
      </c>
    </row>
    <row r="6" spans="1:3" x14ac:dyDescent="0.25">
      <c r="A6" t="s">
        <v>41</v>
      </c>
      <c r="B6">
        <v>11.4</v>
      </c>
      <c r="C6">
        <v>0.68500000000000005</v>
      </c>
    </row>
    <row r="7" spans="1:3" x14ac:dyDescent="0.25">
      <c r="A7" t="s">
        <v>42</v>
      </c>
      <c r="B7">
        <v>9.1</v>
      </c>
      <c r="C7">
        <v>0.62</v>
      </c>
    </row>
    <row r="8" spans="1:3" x14ac:dyDescent="0.25">
      <c r="A8" t="s">
        <v>43</v>
      </c>
      <c r="B8">
        <v>9.1999999999999993</v>
      </c>
      <c r="C8">
        <v>0.62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8"/>
  <sheetViews>
    <sheetView workbookViewId="0">
      <selection activeCell="C1" sqref="C1:F1"/>
    </sheetView>
  </sheetViews>
  <sheetFormatPr defaultRowHeight="15" x14ac:dyDescent="0.25"/>
  <cols>
    <col min="2" max="2" width="21.28515625" customWidth="1"/>
  </cols>
  <sheetData>
    <row r="1" spans="1:7" s="1" customFormat="1" x14ac:dyDescent="0.25">
      <c r="A1" s="1" t="s">
        <v>199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</row>
    <row r="2" spans="1:7" x14ac:dyDescent="0.25">
      <c r="A2">
        <v>2024</v>
      </c>
      <c r="B2" t="s">
        <v>49</v>
      </c>
      <c r="C2">
        <v>409.73</v>
      </c>
      <c r="D2">
        <v>342.66</v>
      </c>
      <c r="E2">
        <v>355.23</v>
      </c>
      <c r="F2">
        <v>175.45</v>
      </c>
      <c r="G2" s="5"/>
    </row>
    <row r="3" spans="1:7" x14ac:dyDescent="0.25">
      <c r="A3">
        <f>A2+1</f>
        <v>2025</v>
      </c>
      <c r="B3" t="s">
        <v>49</v>
      </c>
      <c r="C3">
        <v>409.73</v>
      </c>
      <c r="D3">
        <v>342.66</v>
      </c>
      <c r="E3">
        <v>355.23</v>
      </c>
      <c r="F3">
        <v>175.45</v>
      </c>
    </row>
    <row r="4" spans="1:7" x14ac:dyDescent="0.25">
      <c r="A4">
        <f t="shared" ref="A4:A58" si="0">A3+1</f>
        <v>2026</v>
      </c>
      <c r="B4" t="s">
        <v>49</v>
      </c>
      <c r="C4">
        <v>409.73</v>
      </c>
      <c r="D4">
        <v>342.66</v>
      </c>
      <c r="E4">
        <v>355.23</v>
      </c>
      <c r="F4">
        <v>175.45</v>
      </c>
    </row>
    <row r="5" spans="1:7" x14ac:dyDescent="0.25">
      <c r="A5">
        <f t="shared" si="0"/>
        <v>2027</v>
      </c>
      <c r="B5" t="s">
        <v>49</v>
      </c>
      <c r="C5">
        <v>409.73</v>
      </c>
      <c r="D5">
        <v>342.66</v>
      </c>
      <c r="E5">
        <v>355.23</v>
      </c>
      <c r="F5">
        <v>175.45</v>
      </c>
    </row>
    <row r="6" spans="1:7" x14ac:dyDescent="0.25">
      <c r="A6">
        <f t="shared" si="0"/>
        <v>2028</v>
      </c>
      <c r="B6" t="s">
        <v>49</v>
      </c>
      <c r="C6">
        <v>409.73</v>
      </c>
      <c r="D6">
        <v>342.66</v>
      </c>
      <c r="E6">
        <v>355.23</v>
      </c>
      <c r="F6">
        <v>175.45</v>
      </c>
    </row>
    <row r="7" spans="1:7" x14ac:dyDescent="0.25">
      <c r="A7">
        <f t="shared" si="0"/>
        <v>2029</v>
      </c>
      <c r="B7" t="s">
        <v>49</v>
      </c>
      <c r="C7">
        <v>409.73</v>
      </c>
      <c r="D7">
        <v>342.66</v>
      </c>
      <c r="E7">
        <v>355.23</v>
      </c>
      <c r="F7">
        <v>175.45</v>
      </c>
    </row>
    <row r="8" spans="1:7" x14ac:dyDescent="0.25">
      <c r="A8">
        <f t="shared" si="0"/>
        <v>2030</v>
      </c>
      <c r="B8" t="s">
        <v>49</v>
      </c>
      <c r="C8">
        <v>409.73</v>
      </c>
      <c r="D8">
        <v>342.66</v>
      </c>
      <c r="E8">
        <v>355.23</v>
      </c>
      <c r="F8">
        <v>175.45</v>
      </c>
    </row>
    <row r="9" spans="1:7" x14ac:dyDescent="0.25">
      <c r="A9">
        <f t="shared" si="0"/>
        <v>2031</v>
      </c>
      <c r="B9" t="s">
        <v>49</v>
      </c>
      <c r="C9">
        <v>409.73</v>
      </c>
      <c r="D9">
        <v>342.66</v>
      </c>
      <c r="E9">
        <v>355.23</v>
      </c>
      <c r="F9">
        <v>175.45</v>
      </c>
    </row>
    <row r="10" spans="1:7" x14ac:dyDescent="0.25">
      <c r="A10">
        <f t="shared" si="0"/>
        <v>2032</v>
      </c>
      <c r="B10" t="s">
        <v>49</v>
      </c>
      <c r="C10">
        <v>409.73</v>
      </c>
      <c r="D10">
        <v>342.66</v>
      </c>
      <c r="E10">
        <v>355.23</v>
      </c>
      <c r="F10">
        <v>175.45</v>
      </c>
    </row>
    <row r="11" spans="1:7" x14ac:dyDescent="0.25">
      <c r="A11">
        <f t="shared" si="0"/>
        <v>2033</v>
      </c>
      <c r="B11" t="s">
        <v>49</v>
      </c>
      <c r="C11">
        <v>409.73</v>
      </c>
      <c r="D11">
        <v>342.66</v>
      </c>
      <c r="E11">
        <v>355.23</v>
      </c>
      <c r="F11">
        <v>175.45</v>
      </c>
    </row>
    <row r="12" spans="1:7" x14ac:dyDescent="0.25">
      <c r="A12">
        <f t="shared" si="0"/>
        <v>2034</v>
      </c>
      <c r="B12" t="s">
        <v>49</v>
      </c>
      <c r="C12">
        <v>409.73</v>
      </c>
      <c r="D12">
        <v>342.66</v>
      </c>
      <c r="E12">
        <v>355.23</v>
      </c>
      <c r="F12">
        <v>175.45</v>
      </c>
    </row>
    <row r="13" spans="1:7" x14ac:dyDescent="0.25">
      <c r="A13">
        <f t="shared" si="0"/>
        <v>2035</v>
      </c>
      <c r="B13" t="s">
        <v>49</v>
      </c>
      <c r="C13">
        <v>409.73</v>
      </c>
      <c r="D13">
        <v>342.66</v>
      </c>
      <c r="E13">
        <v>355.23</v>
      </c>
      <c r="F13">
        <v>175.45</v>
      </c>
    </row>
    <row r="14" spans="1:7" x14ac:dyDescent="0.25">
      <c r="A14">
        <f t="shared" si="0"/>
        <v>2036</v>
      </c>
      <c r="B14" t="s">
        <v>49</v>
      </c>
      <c r="C14">
        <v>409.73</v>
      </c>
      <c r="D14">
        <v>342.66</v>
      </c>
      <c r="E14">
        <v>355.23</v>
      </c>
      <c r="F14">
        <v>175.45</v>
      </c>
    </row>
    <row r="15" spans="1:7" x14ac:dyDescent="0.25">
      <c r="A15">
        <f t="shared" si="0"/>
        <v>2037</v>
      </c>
      <c r="B15" t="s">
        <v>49</v>
      </c>
      <c r="C15">
        <v>409.73</v>
      </c>
      <c r="D15">
        <v>342.66</v>
      </c>
      <c r="E15">
        <v>355.23</v>
      </c>
      <c r="F15">
        <v>175.45</v>
      </c>
    </row>
    <row r="16" spans="1:7" x14ac:dyDescent="0.25">
      <c r="A16">
        <f t="shared" si="0"/>
        <v>2038</v>
      </c>
      <c r="B16" t="s">
        <v>49</v>
      </c>
      <c r="C16">
        <v>409.73</v>
      </c>
      <c r="D16">
        <v>342.66</v>
      </c>
      <c r="E16">
        <v>355.23</v>
      </c>
      <c r="F16">
        <v>175.45</v>
      </c>
    </row>
    <row r="17" spans="1:6" x14ac:dyDescent="0.25">
      <c r="A17">
        <f t="shared" si="0"/>
        <v>2039</v>
      </c>
      <c r="B17" t="s">
        <v>49</v>
      </c>
      <c r="C17">
        <v>409.73</v>
      </c>
      <c r="D17">
        <v>342.66</v>
      </c>
      <c r="E17">
        <v>355.23</v>
      </c>
      <c r="F17">
        <v>175.45</v>
      </c>
    </row>
    <row r="18" spans="1:6" x14ac:dyDescent="0.25">
      <c r="A18">
        <f t="shared" si="0"/>
        <v>2040</v>
      </c>
      <c r="B18" t="s">
        <v>49</v>
      </c>
      <c r="C18">
        <v>409.73</v>
      </c>
      <c r="D18">
        <v>342.66</v>
      </c>
      <c r="E18">
        <v>355.23</v>
      </c>
      <c r="F18">
        <v>175.45</v>
      </c>
    </row>
    <row r="19" spans="1:6" x14ac:dyDescent="0.25">
      <c r="A19">
        <f t="shared" si="0"/>
        <v>2041</v>
      </c>
      <c r="B19" t="s">
        <v>49</v>
      </c>
      <c r="C19">
        <v>409.73</v>
      </c>
      <c r="D19">
        <v>342.66</v>
      </c>
      <c r="E19">
        <v>355.23</v>
      </c>
      <c r="F19">
        <v>175.45</v>
      </c>
    </row>
    <row r="20" spans="1:6" x14ac:dyDescent="0.25">
      <c r="A20">
        <f t="shared" si="0"/>
        <v>2042</v>
      </c>
      <c r="B20" t="s">
        <v>49</v>
      </c>
      <c r="C20">
        <v>409.73</v>
      </c>
      <c r="D20">
        <v>342.66</v>
      </c>
      <c r="E20">
        <v>355.23</v>
      </c>
      <c r="F20">
        <v>175.45</v>
      </c>
    </row>
    <row r="21" spans="1:6" x14ac:dyDescent="0.25">
      <c r="A21">
        <f t="shared" si="0"/>
        <v>2043</v>
      </c>
      <c r="B21" t="s">
        <v>49</v>
      </c>
      <c r="C21">
        <v>409.73</v>
      </c>
      <c r="D21">
        <v>342.66</v>
      </c>
      <c r="E21">
        <v>355.23</v>
      </c>
      <c r="F21">
        <v>175.45</v>
      </c>
    </row>
    <row r="22" spans="1:6" x14ac:dyDescent="0.25">
      <c r="A22">
        <f t="shared" si="0"/>
        <v>2044</v>
      </c>
      <c r="B22" t="s">
        <v>49</v>
      </c>
      <c r="C22">
        <v>409.73</v>
      </c>
      <c r="D22">
        <v>342.66</v>
      </c>
      <c r="E22">
        <v>355.23</v>
      </c>
      <c r="F22">
        <v>175.45</v>
      </c>
    </row>
    <row r="23" spans="1:6" x14ac:dyDescent="0.25">
      <c r="A23">
        <f t="shared" si="0"/>
        <v>2045</v>
      </c>
      <c r="B23" t="s">
        <v>49</v>
      </c>
      <c r="C23">
        <v>409.73</v>
      </c>
      <c r="D23">
        <v>342.66</v>
      </c>
      <c r="E23">
        <v>355.23</v>
      </c>
      <c r="F23">
        <v>175.45</v>
      </c>
    </row>
    <row r="24" spans="1:6" x14ac:dyDescent="0.25">
      <c r="A24">
        <f t="shared" si="0"/>
        <v>2046</v>
      </c>
      <c r="B24" t="s">
        <v>49</v>
      </c>
      <c r="C24">
        <v>409.73</v>
      </c>
      <c r="D24">
        <v>342.66</v>
      </c>
      <c r="E24">
        <v>355.23</v>
      </c>
      <c r="F24">
        <v>175.45</v>
      </c>
    </row>
    <row r="25" spans="1:6" x14ac:dyDescent="0.25">
      <c r="A25">
        <f t="shared" si="0"/>
        <v>2047</v>
      </c>
      <c r="B25" t="s">
        <v>49</v>
      </c>
      <c r="C25">
        <v>409.73</v>
      </c>
      <c r="D25">
        <v>342.66</v>
      </c>
      <c r="E25">
        <v>355.23</v>
      </c>
      <c r="F25">
        <v>175.45</v>
      </c>
    </row>
    <row r="26" spans="1:6" x14ac:dyDescent="0.25">
      <c r="A26">
        <f t="shared" si="0"/>
        <v>2048</v>
      </c>
      <c r="B26" t="s">
        <v>49</v>
      </c>
      <c r="C26">
        <v>409.73</v>
      </c>
      <c r="D26">
        <v>342.66</v>
      </c>
      <c r="E26">
        <v>355.23</v>
      </c>
      <c r="F26">
        <v>175.45</v>
      </c>
    </row>
    <row r="27" spans="1:6" x14ac:dyDescent="0.25">
      <c r="A27">
        <f t="shared" si="0"/>
        <v>2049</v>
      </c>
      <c r="B27" t="s">
        <v>49</v>
      </c>
      <c r="C27">
        <v>409.73</v>
      </c>
      <c r="D27">
        <v>342.66</v>
      </c>
      <c r="E27">
        <v>355.23</v>
      </c>
      <c r="F27">
        <v>175.45</v>
      </c>
    </row>
    <row r="28" spans="1:6" x14ac:dyDescent="0.25">
      <c r="A28">
        <f t="shared" si="0"/>
        <v>2050</v>
      </c>
      <c r="B28" t="s">
        <v>49</v>
      </c>
      <c r="C28">
        <v>409.73</v>
      </c>
      <c r="D28">
        <v>342.66</v>
      </c>
      <c r="E28">
        <v>355.23</v>
      </c>
      <c r="F28">
        <v>175.45</v>
      </c>
    </row>
    <row r="29" spans="1:6" x14ac:dyDescent="0.25">
      <c r="A29">
        <f t="shared" si="0"/>
        <v>2051</v>
      </c>
      <c r="B29" t="s">
        <v>49</v>
      </c>
      <c r="C29">
        <v>409.73</v>
      </c>
      <c r="D29">
        <v>342.66</v>
      </c>
      <c r="E29">
        <v>355.23</v>
      </c>
      <c r="F29">
        <v>175.45</v>
      </c>
    </row>
    <row r="30" spans="1:6" x14ac:dyDescent="0.25">
      <c r="A30">
        <f t="shared" si="0"/>
        <v>2052</v>
      </c>
      <c r="B30" t="s">
        <v>49</v>
      </c>
      <c r="C30">
        <v>409.73</v>
      </c>
      <c r="D30">
        <v>342.66</v>
      </c>
      <c r="E30">
        <v>355.23</v>
      </c>
      <c r="F30">
        <v>175.45</v>
      </c>
    </row>
    <row r="31" spans="1:6" x14ac:dyDescent="0.25">
      <c r="A31">
        <f t="shared" si="0"/>
        <v>2053</v>
      </c>
      <c r="B31" t="s">
        <v>49</v>
      </c>
      <c r="C31">
        <v>409.73</v>
      </c>
      <c r="D31">
        <v>342.66</v>
      </c>
      <c r="E31">
        <v>355.23</v>
      </c>
      <c r="F31">
        <v>175.45</v>
      </c>
    </row>
    <row r="32" spans="1:6" x14ac:dyDescent="0.25">
      <c r="A32">
        <f t="shared" si="0"/>
        <v>2054</v>
      </c>
      <c r="B32" t="s">
        <v>49</v>
      </c>
      <c r="C32">
        <v>409.73</v>
      </c>
      <c r="D32">
        <v>342.66</v>
      </c>
      <c r="E32">
        <v>355.23</v>
      </c>
      <c r="F32">
        <v>175.45</v>
      </c>
    </row>
    <row r="33" spans="1:6" x14ac:dyDescent="0.25">
      <c r="A33">
        <f t="shared" si="0"/>
        <v>2055</v>
      </c>
      <c r="B33" t="s">
        <v>49</v>
      </c>
      <c r="C33">
        <v>409.73</v>
      </c>
      <c r="D33">
        <v>342.66</v>
      </c>
      <c r="E33">
        <v>355.23</v>
      </c>
      <c r="F33">
        <v>175.45</v>
      </c>
    </row>
    <row r="34" spans="1:6" x14ac:dyDescent="0.25">
      <c r="A34">
        <f t="shared" si="0"/>
        <v>2056</v>
      </c>
      <c r="B34" t="s">
        <v>49</v>
      </c>
      <c r="C34">
        <v>409.73</v>
      </c>
      <c r="D34">
        <v>342.66</v>
      </c>
      <c r="E34">
        <v>355.23</v>
      </c>
      <c r="F34">
        <v>175.45</v>
      </c>
    </row>
    <row r="35" spans="1:6" x14ac:dyDescent="0.25">
      <c r="A35">
        <f t="shared" si="0"/>
        <v>2057</v>
      </c>
      <c r="B35" t="s">
        <v>49</v>
      </c>
      <c r="C35">
        <v>409.73</v>
      </c>
      <c r="D35">
        <v>342.66</v>
      </c>
      <c r="E35">
        <v>355.23</v>
      </c>
      <c r="F35">
        <v>175.45</v>
      </c>
    </row>
    <row r="36" spans="1:6" x14ac:dyDescent="0.25">
      <c r="A36">
        <f t="shared" si="0"/>
        <v>2058</v>
      </c>
      <c r="B36" t="s">
        <v>49</v>
      </c>
      <c r="C36">
        <v>409.73</v>
      </c>
      <c r="D36">
        <v>342.66</v>
      </c>
      <c r="E36">
        <v>355.23</v>
      </c>
      <c r="F36">
        <v>175.45</v>
      </c>
    </row>
    <row r="37" spans="1:6" x14ac:dyDescent="0.25">
      <c r="A37">
        <f t="shared" si="0"/>
        <v>2059</v>
      </c>
      <c r="B37" t="s">
        <v>49</v>
      </c>
      <c r="C37">
        <v>409.73</v>
      </c>
      <c r="D37">
        <v>342.66</v>
      </c>
      <c r="E37">
        <v>355.23</v>
      </c>
      <c r="F37">
        <v>175.45</v>
      </c>
    </row>
    <row r="38" spans="1:6" x14ac:dyDescent="0.25">
      <c r="A38">
        <f t="shared" si="0"/>
        <v>2060</v>
      </c>
      <c r="B38" t="s">
        <v>49</v>
      </c>
      <c r="C38">
        <v>409.73</v>
      </c>
      <c r="D38">
        <v>342.66</v>
      </c>
      <c r="E38">
        <v>355.23</v>
      </c>
      <c r="F38">
        <v>175.45</v>
      </c>
    </row>
    <row r="39" spans="1:6" x14ac:dyDescent="0.25">
      <c r="A39">
        <f t="shared" si="0"/>
        <v>2061</v>
      </c>
      <c r="B39" t="s">
        <v>49</v>
      </c>
      <c r="C39">
        <v>409.73</v>
      </c>
      <c r="D39">
        <v>342.66</v>
      </c>
      <c r="E39">
        <v>355.23</v>
      </c>
      <c r="F39">
        <v>175.45</v>
      </c>
    </row>
    <row r="40" spans="1:6" x14ac:dyDescent="0.25">
      <c r="A40">
        <f t="shared" si="0"/>
        <v>2062</v>
      </c>
      <c r="B40" t="s">
        <v>49</v>
      </c>
      <c r="C40">
        <v>409.73</v>
      </c>
      <c r="D40">
        <v>342.66</v>
      </c>
      <c r="E40">
        <v>355.23</v>
      </c>
      <c r="F40">
        <v>175.45</v>
      </c>
    </row>
    <row r="41" spans="1:6" x14ac:dyDescent="0.25">
      <c r="A41">
        <f t="shared" si="0"/>
        <v>2063</v>
      </c>
      <c r="B41" t="s">
        <v>49</v>
      </c>
      <c r="C41">
        <v>409.73</v>
      </c>
      <c r="D41">
        <v>342.66</v>
      </c>
      <c r="E41">
        <v>355.23</v>
      </c>
      <c r="F41">
        <v>175.45</v>
      </c>
    </row>
    <row r="42" spans="1:6" x14ac:dyDescent="0.25">
      <c r="A42">
        <f t="shared" si="0"/>
        <v>2064</v>
      </c>
      <c r="B42" t="s">
        <v>49</v>
      </c>
      <c r="C42">
        <v>409.73</v>
      </c>
      <c r="D42">
        <v>342.66</v>
      </c>
      <c r="E42">
        <v>355.23</v>
      </c>
      <c r="F42">
        <v>175.45</v>
      </c>
    </row>
    <row r="43" spans="1:6" x14ac:dyDescent="0.25">
      <c r="A43">
        <f t="shared" si="0"/>
        <v>2065</v>
      </c>
      <c r="B43" t="s">
        <v>49</v>
      </c>
      <c r="C43">
        <v>409.73</v>
      </c>
      <c r="D43">
        <v>342.66</v>
      </c>
      <c r="E43">
        <v>355.23</v>
      </c>
      <c r="F43">
        <v>175.45</v>
      </c>
    </row>
    <row r="44" spans="1:6" x14ac:dyDescent="0.25">
      <c r="A44">
        <f t="shared" si="0"/>
        <v>2066</v>
      </c>
      <c r="B44" t="s">
        <v>49</v>
      </c>
      <c r="C44">
        <v>409.73</v>
      </c>
      <c r="D44">
        <v>342.66</v>
      </c>
      <c r="E44">
        <v>355.23</v>
      </c>
      <c r="F44">
        <v>175.45</v>
      </c>
    </row>
    <row r="45" spans="1:6" x14ac:dyDescent="0.25">
      <c r="A45">
        <f t="shared" si="0"/>
        <v>2067</v>
      </c>
      <c r="B45" t="s">
        <v>49</v>
      </c>
      <c r="C45">
        <v>409.73</v>
      </c>
      <c r="D45">
        <v>342.66</v>
      </c>
      <c r="E45">
        <v>355.23</v>
      </c>
      <c r="F45">
        <v>175.45</v>
      </c>
    </row>
    <row r="46" spans="1:6" x14ac:dyDescent="0.25">
      <c r="A46">
        <f t="shared" si="0"/>
        <v>2068</v>
      </c>
      <c r="B46" t="s">
        <v>49</v>
      </c>
      <c r="C46">
        <v>409.73</v>
      </c>
      <c r="D46">
        <v>342.66</v>
      </c>
      <c r="E46">
        <v>355.23</v>
      </c>
      <c r="F46">
        <v>175.45</v>
      </c>
    </row>
    <row r="47" spans="1:6" x14ac:dyDescent="0.25">
      <c r="A47">
        <f t="shared" si="0"/>
        <v>2069</v>
      </c>
      <c r="B47" t="s">
        <v>49</v>
      </c>
      <c r="C47">
        <v>409.73</v>
      </c>
      <c r="D47">
        <v>342.66</v>
      </c>
      <c r="E47">
        <v>355.23</v>
      </c>
      <c r="F47">
        <v>175.45</v>
      </c>
    </row>
    <row r="48" spans="1:6" x14ac:dyDescent="0.25">
      <c r="A48">
        <f t="shared" si="0"/>
        <v>2070</v>
      </c>
      <c r="B48" t="s">
        <v>49</v>
      </c>
      <c r="C48">
        <v>409.73</v>
      </c>
      <c r="D48">
        <v>342.66</v>
      </c>
      <c r="E48">
        <v>355.23</v>
      </c>
      <c r="F48">
        <v>175.45</v>
      </c>
    </row>
    <row r="49" spans="1:6" x14ac:dyDescent="0.25">
      <c r="A49">
        <f t="shared" si="0"/>
        <v>2071</v>
      </c>
      <c r="B49" t="s">
        <v>49</v>
      </c>
      <c r="C49">
        <v>409.73</v>
      </c>
      <c r="D49">
        <v>342.66</v>
      </c>
      <c r="E49">
        <v>355.23</v>
      </c>
      <c r="F49">
        <v>175.45</v>
      </c>
    </row>
    <row r="50" spans="1:6" x14ac:dyDescent="0.25">
      <c r="A50">
        <f t="shared" si="0"/>
        <v>2072</v>
      </c>
      <c r="B50" t="s">
        <v>49</v>
      </c>
      <c r="C50">
        <v>409.73</v>
      </c>
      <c r="D50">
        <v>342.66</v>
      </c>
      <c r="E50">
        <v>355.23</v>
      </c>
      <c r="F50">
        <v>175.45</v>
      </c>
    </row>
    <row r="51" spans="1:6" x14ac:dyDescent="0.25">
      <c r="A51">
        <f t="shared" si="0"/>
        <v>2073</v>
      </c>
      <c r="B51" t="s">
        <v>49</v>
      </c>
      <c r="C51">
        <v>409.73</v>
      </c>
      <c r="D51">
        <v>342.66</v>
      </c>
      <c r="E51">
        <v>355.23</v>
      </c>
      <c r="F51">
        <v>175.45</v>
      </c>
    </row>
    <row r="52" spans="1:6" x14ac:dyDescent="0.25">
      <c r="A52">
        <f t="shared" si="0"/>
        <v>2074</v>
      </c>
      <c r="B52" t="s">
        <v>49</v>
      </c>
      <c r="C52">
        <v>409.73</v>
      </c>
      <c r="D52">
        <v>342.66</v>
      </c>
      <c r="E52">
        <v>355.23</v>
      </c>
      <c r="F52">
        <v>175.45</v>
      </c>
    </row>
    <row r="53" spans="1:6" x14ac:dyDescent="0.25">
      <c r="A53">
        <f t="shared" si="0"/>
        <v>2075</v>
      </c>
      <c r="B53" t="s">
        <v>49</v>
      </c>
      <c r="C53">
        <v>409.73</v>
      </c>
      <c r="D53">
        <v>342.66</v>
      </c>
      <c r="E53">
        <v>355.23</v>
      </c>
      <c r="F53">
        <v>175.45</v>
      </c>
    </row>
    <row r="54" spans="1:6" x14ac:dyDescent="0.25">
      <c r="A54">
        <f t="shared" si="0"/>
        <v>2076</v>
      </c>
      <c r="B54" t="s">
        <v>49</v>
      </c>
      <c r="C54">
        <v>409.73</v>
      </c>
      <c r="D54">
        <v>342.66</v>
      </c>
      <c r="E54">
        <v>355.23</v>
      </c>
      <c r="F54">
        <v>175.45</v>
      </c>
    </row>
    <row r="55" spans="1:6" x14ac:dyDescent="0.25">
      <c r="A55">
        <f t="shared" si="0"/>
        <v>2077</v>
      </c>
      <c r="B55" t="s">
        <v>49</v>
      </c>
      <c r="C55">
        <v>409.73</v>
      </c>
      <c r="D55">
        <v>342.66</v>
      </c>
      <c r="E55">
        <v>355.23</v>
      </c>
      <c r="F55">
        <v>175.45</v>
      </c>
    </row>
    <row r="56" spans="1:6" x14ac:dyDescent="0.25">
      <c r="A56">
        <f t="shared" si="0"/>
        <v>2078</v>
      </c>
      <c r="B56" t="s">
        <v>49</v>
      </c>
      <c r="C56">
        <v>409.73</v>
      </c>
      <c r="D56">
        <v>342.66</v>
      </c>
      <c r="E56">
        <v>355.23</v>
      </c>
      <c r="F56">
        <v>175.45</v>
      </c>
    </row>
    <row r="57" spans="1:6" x14ac:dyDescent="0.25">
      <c r="A57">
        <f t="shared" si="0"/>
        <v>2079</v>
      </c>
      <c r="B57" t="s">
        <v>49</v>
      </c>
      <c r="C57">
        <v>409.73</v>
      </c>
      <c r="D57">
        <v>342.66</v>
      </c>
      <c r="E57">
        <v>355.23</v>
      </c>
      <c r="F57">
        <v>175.45</v>
      </c>
    </row>
    <row r="58" spans="1:6" x14ac:dyDescent="0.25">
      <c r="A58">
        <f t="shared" si="0"/>
        <v>2080</v>
      </c>
      <c r="B58" t="s">
        <v>49</v>
      </c>
      <c r="C58">
        <v>409.73</v>
      </c>
      <c r="D58">
        <v>342.66</v>
      </c>
      <c r="E58">
        <v>355.23</v>
      </c>
      <c r="F58">
        <v>175.45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"/>
  <sheetViews>
    <sheetView workbookViewId="0">
      <selection activeCell="D4" sqref="D4"/>
    </sheetView>
  </sheetViews>
  <sheetFormatPr defaultRowHeight="15" x14ac:dyDescent="0.25"/>
  <sheetData>
    <row r="1" spans="1:4" s="1" customFormat="1" x14ac:dyDescent="0.25">
      <c r="A1" s="1" t="s">
        <v>50</v>
      </c>
      <c r="B1" s="1" t="s">
        <v>51</v>
      </c>
      <c r="C1" s="1" t="s">
        <v>52</v>
      </c>
      <c r="D1" s="1" t="s">
        <v>53</v>
      </c>
    </row>
    <row r="2" spans="1:4" x14ac:dyDescent="0.25">
      <c r="A2" t="s">
        <v>54</v>
      </c>
      <c r="B2" s="2">
        <v>0</v>
      </c>
      <c r="C2" s="3">
        <v>6.4000000000000001E-2</v>
      </c>
      <c r="D2" s="3">
        <v>3.2000000000000001E-2</v>
      </c>
    </row>
    <row r="3" spans="1:4" x14ac:dyDescent="0.25">
      <c r="A3" t="s">
        <v>55</v>
      </c>
      <c r="B3" s="3">
        <v>2.0000000000000001E-4</v>
      </c>
      <c r="C3" s="3">
        <v>5.9999999999999995E-4</v>
      </c>
      <c r="D3" s="3">
        <v>4.0000000000000002E-4</v>
      </c>
    </row>
    <row r="4" spans="1:4" x14ac:dyDescent="0.25">
      <c r="A4" t="s">
        <v>56</v>
      </c>
      <c r="B4" s="3">
        <v>5.9999999999999995E-4</v>
      </c>
      <c r="C4" s="3">
        <v>6.9999999999999999E-4</v>
      </c>
      <c r="D4" s="3">
        <v>6.4999999999999997E-4</v>
      </c>
    </row>
    <row r="5" spans="1:4" x14ac:dyDescent="0.25">
      <c r="A5" t="s">
        <v>57</v>
      </c>
      <c r="B5" s="2">
        <v>0</v>
      </c>
      <c r="C5" s="3">
        <v>4.3999999999999997E-2</v>
      </c>
      <c r="D5" s="3">
        <v>2.1999999999999999E-2</v>
      </c>
    </row>
    <row r="6" spans="1:4" x14ac:dyDescent="0.25">
      <c r="A6" t="s">
        <v>58</v>
      </c>
      <c r="B6" s="3">
        <v>4.0000000000000002E-4</v>
      </c>
      <c r="C6" s="3">
        <v>1.8E-3</v>
      </c>
      <c r="D6" s="3">
        <v>1.1000000000000001E-3</v>
      </c>
    </row>
    <row r="7" spans="1:4" x14ac:dyDescent="0.25">
      <c r="A7" t="s">
        <v>59</v>
      </c>
      <c r="B7" s="3">
        <v>3.0000000000000001E-3</v>
      </c>
      <c r="C7" s="3">
        <v>0.13400000000000001</v>
      </c>
      <c r="D7" s="3">
        <v>6.8500000000000005E-2</v>
      </c>
    </row>
    <row r="8" spans="1:4" x14ac:dyDescent="0.25">
      <c r="A8" t="s">
        <v>60</v>
      </c>
      <c r="B8" s="3">
        <v>4.1999999999999997E-3</v>
      </c>
      <c r="C8" s="3">
        <v>0.24199999999999999</v>
      </c>
      <c r="D8" s="3">
        <v>0.123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>
      <selection activeCell="D1" sqref="D1"/>
    </sheetView>
  </sheetViews>
  <sheetFormatPr defaultRowHeight="15" x14ac:dyDescent="0.25"/>
  <sheetData>
    <row r="1" spans="1:4" s="1" customFormat="1" x14ac:dyDescent="0.25">
      <c r="A1" s="1" t="s">
        <v>61</v>
      </c>
      <c r="B1" s="1" t="s">
        <v>62</v>
      </c>
      <c r="C1" s="1" t="s">
        <v>63</v>
      </c>
      <c r="D1" s="1" t="s">
        <v>64</v>
      </c>
    </row>
    <row r="2" spans="1:4" x14ac:dyDescent="0.25">
      <c r="A2" t="s">
        <v>65</v>
      </c>
      <c r="B2" s="3">
        <v>3.0000000000000001E-3</v>
      </c>
      <c r="C2" s="3">
        <v>2.5999999999999999E-2</v>
      </c>
      <c r="D2" s="3">
        <v>2.9000000000000001E-2</v>
      </c>
    </row>
    <row r="3" spans="1:4" x14ac:dyDescent="0.25">
      <c r="A3" t="s">
        <v>66</v>
      </c>
      <c r="B3" s="3">
        <v>3.0000000000000001E-3</v>
      </c>
      <c r="C3" s="3">
        <v>2.5999999999999999E-2</v>
      </c>
      <c r="D3" s="3">
        <v>2.9000000000000001E-2</v>
      </c>
    </row>
    <row r="4" spans="1:4" x14ac:dyDescent="0.25">
      <c r="A4" t="s">
        <v>67</v>
      </c>
      <c r="B4" s="3">
        <v>1E-3</v>
      </c>
      <c r="C4" s="3">
        <v>5.1999999999999998E-2</v>
      </c>
      <c r="D4" s="3">
        <v>5.2999999999999999E-2</v>
      </c>
    </row>
    <row r="5" spans="1:4" x14ac:dyDescent="0.25">
      <c r="A5" t="s">
        <v>60</v>
      </c>
      <c r="B5" s="3">
        <v>7.0000000000000001E-3</v>
      </c>
      <c r="C5" s="3">
        <v>0.104</v>
      </c>
      <c r="D5" s="3">
        <v>0.111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"/>
  <sheetViews>
    <sheetView workbookViewId="0">
      <selection activeCell="B2" sqref="B2"/>
    </sheetView>
  </sheetViews>
  <sheetFormatPr defaultRowHeight="15" x14ac:dyDescent="0.25"/>
  <sheetData>
    <row r="1" spans="1:4" x14ac:dyDescent="0.25">
      <c r="A1" s="1" t="s">
        <v>68</v>
      </c>
      <c r="B1" s="1" t="s">
        <v>177</v>
      </c>
      <c r="C1" s="1" t="s">
        <v>178</v>
      </c>
      <c r="D1" s="1"/>
    </row>
    <row r="2" spans="1:4" x14ac:dyDescent="0.25">
      <c r="A2" t="s">
        <v>69</v>
      </c>
      <c r="B2" t="s">
        <v>70</v>
      </c>
      <c r="C2" s="3">
        <v>-2.5000000000000001E-2</v>
      </c>
    </row>
    <row r="3" spans="1:4" x14ac:dyDescent="0.25">
      <c r="A3" t="s">
        <v>71</v>
      </c>
      <c r="B3" t="s">
        <v>72</v>
      </c>
      <c r="C3" s="3">
        <v>-1.2999999999999999E-2</v>
      </c>
    </row>
    <row r="4" spans="1:4" x14ac:dyDescent="0.25">
      <c r="A4" t="s">
        <v>73</v>
      </c>
      <c r="B4" t="s">
        <v>74</v>
      </c>
      <c r="C4" s="3">
        <v>-5.8000000000000003E-2</v>
      </c>
    </row>
    <row r="5" spans="1:4" x14ac:dyDescent="0.25">
      <c r="A5" t="s">
        <v>73</v>
      </c>
      <c r="B5" t="s">
        <v>75</v>
      </c>
      <c r="C5" s="3">
        <v>-0.02</v>
      </c>
    </row>
    <row r="6" spans="1:4" x14ac:dyDescent="0.25">
      <c r="A6" t="s">
        <v>76</v>
      </c>
      <c r="B6" t="s">
        <v>77</v>
      </c>
      <c r="C6" s="3">
        <v>-8.0000000000000002E-3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8"/>
  <sheetViews>
    <sheetView workbookViewId="0">
      <selection activeCell="A7" sqref="A7"/>
    </sheetView>
  </sheetViews>
  <sheetFormatPr defaultRowHeight="15" x14ac:dyDescent="0.25"/>
  <cols>
    <col min="1" max="1" width="30.85546875" customWidth="1"/>
    <col min="2" max="2" width="27.28515625" customWidth="1"/>
    <col min="3" max="3" width="24.5703125" customWidth="1"/>
  </cols>
  <sheetData>
    <row r="1" spans="1:3" s="1" customFormat="1" x14ac:dyDescent="0.25">
      <c r="A1" s="1" t="s">
        <v>34</v>
      </c>
      <c r="B1" s="1" t="s">
        <v>35</v>
      </c>
      <c r="C1" s="1" t="s">
        <v>36</v>
      </c>
    </row>
    <row r="2" spans="1:3" x14ac:dyDescent="0.25">
      <c r="A2" t="s">
        <v>37</v>
      </c>
      <c r="B2">
        <v>13.2</v>
      </c>
      <c r="C2">
        <v>0.62</v>
      </c>
    </row>
    <row r="3" spans="1:3" x14ac:dyDescent="0.25">
      <c r="A3" t="s">
        <v>38</v>
      </c>
      <c r="B3">
        <v>16.3</v>
      </c>
      <c r="C3">
        <v>0.70499999999999996</v>
      </c>
    </row>
    <row r="4" spans="1:3" x14ac:dyDescent="0.25">
      <c r="A4" t="s">
        <v>39</v>
      </c>
      <c r="B4">
        <v>38.799999999999997</v>
      </c>
      <c r="C4">
        <v>0.86699999999999999</v>
      </c>
    </row>
    <row r="5" spans="1:3" x14ac:dyDescent="0.25">
      <c r="A5" t="s">
        <v>40</v>
      </c>
      <c r="B5">
        <v>12.5</v>
      </c>
      <c r="C5">
        <v>0.62</v>
      </c>
    </row>
    <row r="6" spans="1:3" x14ac:dyDescent="0.25">
      <c r="A6" t="s">
        <v>41</v>
      </c>
      <c r="B6">
        <v>11.4</v>
      </c>
      <c r="C6">
        <v>0.68500000000000005</v>
      </c>
    </row>
    <row r="7" spans="1:3" x14ac:dyDescent="0.25">
      <c r="A7" t="s">
        <v>42</v>
      </c>
      <c r="B7">
        <v>9.1</v>
      </c>
      <c r="C7">
        <v>0.62</v>
      </c>
    </row>
    <row r="8" spans="1:3" x14ac:dyDescent="0.25">
      <c r="A8" t="s">
        <v>43</v>
      </c>
      <c r="B8">
        <v>9.1999999999999993</v>
      </c>
      <c r="C8">
        <v>0.62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DE928-5E41-4857-9D51-91BD8EEB412E}">
  <dimension ref="A1:J15"/>
  <sheetViews>
    <sheetView tabSelected="1" workbookViewId="0">
      <selection activeCell="H24" sqref="H24"/>
    </sheetView>
  </sheetViews>
  <sheetFormatPr defaultRowHeight="15" x14ac:dyDescent="0.25"/>
  <sheetData>
    <row r="1" spans="1:10" x14ac:dyDescent="0.25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207</v>
      </c>
      <c r="I1" s="7" t="s">
        <v>230</v>
      </c>
      <c r="J1" s="7" t="s">
        <v>231</v>
      </c>
    </row>
    <row r="2" spans="1:10" x14ac:dyDescent="0.25">
      <c r="A2" s="7">
        <v>2019</v>
      </c>
      <c r="B2" s="7">
        <v>9.1</v>
      </c>
      <c r="C2" s="7">
        <v>8.4</v>
      </c>
      <c r="D2" s="7">
        <v>9.6</v>
      </c>
      <c r="E2" s="7">
        <v>17.2</v>
      </c>
      <c r="F2" s="7">
        <v>16</v>
      </c>
      <c r="G2" s="7">
        <v>18.3</v>
      </c>
      <c r="H2" s="7">
        <v>11913</v>
      </c>
      <c r="I2" s="7">
        <v>2040</v>
      </c>
      <c r="J2" s="7" t="s">
        <v>232</v>
      </c>
    </row>
    <row r="3" spans="1:10" x14ac:dyDescent="0.25">
      <c r="A3" s="7">
        <v>2021</v>
      </c>
      <c r="B3" s="7">
        <v>7.2</v>
      </c>
      <c r="C3" s="7">
        <v>6.7</v>
      </c>
      <c r="D3" s="7">
        <v>7.9</v>
      </c>
      <c r="E3" s="7">
        <v>18.2</v>
      </c>
      <c r="F3" s="7">
        <v>15.4</v>
      </c>
      <c r="G3" s="7">
        <v>21</v>
      </c>
      <c r="H3" s="7">
        <v>9247</v>
      </c>
      <c r="I3" s="7">
        <v>2040</v>
      </c>
      <c r="J3" s="7" t="s">
        <v>232</v>
      </c>
    </row>
    <row r="4" spans="1:10" x14ac:dyDescent="0.25">
      <c r="A4" s="7">
        <v>2019</v>
      </c>
      <c r="B4" s="7">
        <v>15.1</v>
      </c>
      <c r="C4" s="7">
        <v>14.4</v>
      </c>
      <c r="D4" s="7">
        <v>16.2</v>
      </c>
      <c r="E4" s="7">
        <v>24.2</v>
      </c>
      <c r="F4" s="7">
        <v>22.8</v>
      </c>
      <c r="G4" s="7">
        <v>25.6</v>
      </c>
      <c r="H4" s="7">
        <v>8366</v>
      </c>
      <c r="I4" s="7">
        <v>2040</v>
      </c>
      <c r="J4" s="7" t="s">
        <v>233</v>
      </c>
    </row>
    <row r="5" spans="1:10" x14ac:dyDescent="0.25">
      <c r="A5" s="7">
        <v>2019</v>
      </c>
      <c r="B5" s="7">
        <v>16.600000000000001</v>
      </c>
      <c r="C5" s="7">
        <v>14.3</v>
      </c>
      <c r="D5" s="7">
        <v>18.600000000000001</v>
      </c>
      <c r="E5" s="7">
        <v>25.4</v>
      </c>
      <c r="F5" s="7">
        <v>23.5</v>
      </c>
      <c r="G5" s="7">
        <v>27.2</v>
      </c>
      <c r="H5" s="7">
        <v>1847</v>
      </c>
      <c r="I5" s="7">
        <v>2040</v>
      </c>
      <c r="J5" s="7" t="s">
        <v>234</v>
      </c>
    </row>
    <row r="6" spans="1:10" x14ac:dyDescent="0.25">
      <c r="A6" s="7">
        <v>2021</v>
      </c>
      <c r="B6" s="7">
        <v>11.4</v>
      </c>
      <c r="C6" s="7">
        <v>10.199999999999999</v>
      </c>
      <c r="D6" s="7">
        <v>12.5</v>
      </c>
      <c r="E6" s="7">
        <v>27.3</v>
      </c>
      <c r="F6" s="7">
        <v>19.7</v>
      </c>
      <c r="G6" s="7">
        <v>34.9</v>
      </c>
      <c r="H6" s="7">
        <v>4162</v>
      </c>
      <c r="I6" s="7">
        <v>2040</v>
      </c>
      <c r="J6" s="7" t="s">
        <v>233</v>
      </c>
    </row>
    <row r="7" spans="1:10" x14ac:dyDescent="0.25">
      <c r="A7" s="7">
        <v>2021</v>
      </c>
      <c r="B7" s="7">
        <v>15</v>
      </c>
      <c r="C7" s="7">
        <v>11.3</v>
      </c>
      <c r="D7" s="7">
        <v>20</v>
      </c>
      <c r="E7" s="7">
        <v>30.7</v>
      </c>
      <c r="F7" s="7">
        <v>23.3</v>
      </c>
      <c r="G7" s="7">
        <v>38.1</v>
      </c>
      <c r="H7" s="7">
        <v>697</v>
      </c>
      <c r="I7" s="7">
        <v>2040</v>
      </c>
      <c r="J7" s="7" t="s">
        <v>234</v>
      </c>
    </row>
    <row r="8" spans="1:10" x14ac:dyDescent="0.25">
      <c r="A8" s="7">
        <v>2019</v>
      </c>
      <c r="B8" s="7">
        <v>19.2</v>
      </c>
      <c r="C8" s="7">
        <v>17.600000000000001</v>
      </c>
      <c r="D8" s="7">
        <v>20.7</v>
      </c>
      <c r="E8" s="7">
        <v>32.5</v>
      </c>
      <c r="F8" s="7">
        <v>31</v>
      </c>
      <c r="G8" s="7">
        <v>34</v>
      </c>
      <c r="H8" s="7">
        <v>5952</v>
      </c>
      <c r="I8" s="7">
        <v>2040</v>
      </c>
      <c r="J8" s="7" t="s">
        <v>235</v>
      </c>
    </row>
    <row r="9" spans="1:10" x14ac:dyDescent="0.25">
      <c r="A9" s="7">
        <v>2021</v>
      </c>
      <c r="B9" s="7">
        <v>21.2</v>
      </c>
      <c r="C9" s="7">
        <v>17.399999999999999</v>
      </c>
      <c r="D9" s="7">
        <v>24.1</v>
      </c>
      <c r="E9" s="7">
        <v>37.700000000000003</v>
      </c>
      <c r="F9" s="7">
        <v>33.4</v>
      </c>
      <c r="G9" s="7">
        <v>42</v>
      </c>
      <c r="H9" s="7">
        <v>2092</v>
      </c>
      <c r="I9" s="7">
        <v>2040</v>
      </c>
      <c r="J9" s="7" t="s">
        <v>235</v>
      </c>
    </row>
    <row r="10" spans="1:10" x14ac:dyDescent="0.25">
      <c r="A10" s="7">
        <v>2019</v>
      </c>
      <c r="B10" s="7">
        <v>9.1999999999999993</v>
      </c>
      <c r="C10" s="7">
        <v>8.6</v>
      </c>
      <c r="D10" s="7">
        <v>9.6999999999999993</v>
      </c>
      <c r="E10" s="7">
        <v>17.399999999999999</v>
      </c>
      <c r="F10" s="7">
        <v>16.3</v>
      </c>
      <c r="G10" s="7">
        <v>18.5</v>
      </c>
      <c r="H10" s="7">
        <v>31037</v>
      </c>
      <c r="I10" s="7">
        <v>2050</v>
      </c>
      <c r="J10" s="7" t="s">
        <v>232</v>
      </c>
    </row>
    <row r="11" spans="1:10" x14ac:dyDescent="0.25">
      <c r="A11" s="7">
        <v>2021</v>
      </c>
      <c r="B11" s="7">
        <v>7.2</v>
      </c>
      <c r="C11" s="7">
        <v>6.6</v>
      </c>
      <c r="D11" s="7">
        <v>7.9</v>
      </c>
      <c r="E11" s="7">
        <v>18.100000000000001</v>
      </c>
      <c r="F11" s="7">
        <v>15.5</v>
      </c>
      <c r="G11" s="7">
        <v>20.8</v>
      </c>
      <c r="H11" s="7">
        <v>22131</v>
      </c>
      <c r="I11" s="7">
        <v>2050</v>
      </c>
      <c r="J11" s="7" t="s">
        <v>232</v>
      </c>
    </row>
    <row r="12" spans="1:10" x14ac:dyDescent="0.25">
      <c r="A12" s="7">
        <v>2019</v>
      </c>
      <c r="B12" s="7">
        <v>15.4</v>
      </c>
      <c r="C12" s="7">
        <v>14.5</v>
      </c>
      <c r="D12" s="7">
        <v>16.399999999999999</v>
      </c>
      <c r="E12" s="7">
        <v>24.5</v>
      </c>
      <c r="F12" s="7">
        <v>23.2</v>
      </c>
      <c r="G12" s="7">
        <v>25.7</v>
      </c>
      <c r="H12" s="7">
        <v>24506</v>
      </c>
      <c r="I12" s="7">
        <v>2050</v>
      </c>
      <c r="J12" s="7" t="s">
        <v>233</v>
      </c>
    </row>
    <row r="13" spans="1:10" x14ac:dyDescent="0.25">
      <c r="A13" s="7">
        <v>2021</v>
      </c>
      <c r="B13" s="7">
        <v>12.2</v>
      </c>
      <c r="C13" s="7">
        <v>11.1</v>
      </c>
      <c r="D13" s="7">
        <v>13.4</v>
      </c>
      <c r="E13" s="7">
        <v>28.4</v>
      </c>
      <c r="F13" s="7">
        <v>21.9</v>
      </c>
      <c r="G13" s="7">
        <v>34.9</v>
      </c>
      <c r="H13" s="7">
        <v>10922</v>
      </c>
      <c r="I13" s="7">
        <v>2050</v>
      </c>
      <c r="J13" s="7" t="s">
        <v>233</v>
      </c>
    </row>
    <row r="14" spans="1:10" x14ac:dyDescent="0.25">
      <c r="A14" s="7">
        <v>2019</v>
      </c>
      <c r="B14" s="7">
        <v>19.2</v>
      </c>
      <c r="C14" s="7">
        <v>17.600000000000001</v>
      </c>
      <c r="D14" s="7">
        <v>20.7</v>
      </c>
      <c r="E14" s="7">
        <v>32.5</v>
      </c>
      <c r="F14" s="7">
        <v>31</v>
      </c>
      <c r="G14" s="7">
        <v>34</v>
      </c>
      <c r="H14" s="7">
        <v>14628</v>
      </c>
      <c r="I14" s="7">
        <v>2050</v>
      </c>
      <c r="J14" s="7" t="s">
        <v>235</v>
      </c>
    </row>
    <row r="15" spans="1:10" x14ac:dyDescent="0.25">
      <c r="A15" s="7">
        <v>2021</v>
      </c>
      <c r="B15" s="7">
        <v>21.6</v>
      </c>
      <c r="C15" s="7">
        <v>17.5</v>
      </c>
      <c r="D15" s="7">
        <v>24.5</v>
      </c>
      <c r="E15" s="7">
        <v>37.799999999999997</v>
      </c>
      <c r="F15" s="7">
        <v>33.5</v>
      </c>
      <c r="G15" s="7">
        <v>42.1</v>
      </c>
      <c r="H15" s="7">
        <v>4731</v>
      </c>
      <c r="I15" s="7">
        <v>2050</v>
      </c>
      <c r="J15" s="7" t="s">
        <v>235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7"/>
  <sheetViews>
    <sheetView workbookViewId="0">
      <selection activeCell="F4" sqref="F4"/>
    </sheetView>
  </sheetViews>
  <sheetFormatPr defaultRowHeight="15" x14ac:dyDescent="0.25"/>
  <cols>
    <col min="1" max="1" width="35.140625" customWidth="1"/>
  </cols>
  <sheetData>
    <row r="1" spans="1:2" s="1" customFormat="1" x14ac:dyDescent="0.25">
      <c r="A1" s="1" t="s">
        <v>78</v>
      </c>
      <c r="B1" s="1" t="s">
        <v>79</v>
      </c>
    </row>
    <row r="2" spans="1:2" x14ac:dyDescent="0.25">
      <c r="A2" t="s">
        <v>54</v>
      </c>
      <c r="B2" s="3">
        <v>5.8000000000000003E-2</v>
      </c>
    </row>
    <row r="3" spans="1:2" x14ac:dyDescent="0.25">
      <c r="A3" t="s">
        <v>55</v>
      </c>
      <c r="B3" s="3">
        <v>2.64E-2</v>
      </c>
    </row>
    <row r="4" spans="1:2" x14ac:dyDescent="0.25">
      <c r="A4" t="s">
        <v>56</v>
      </c>
      <c r="B4" s="3">
        <v>2.6700000000000002E-2</v>
      </c>
    </row>
    <row r="5" spans="1:2" x14ac:dyDescent="0.25">
      <c r="A5" t="s">
        <v>57</v>
      </c>
      <c r="B5" s="3">
        <v>4.8000000000000001E-2</v>
      </c>
    </row>
    <row r="6" spans="1:2" x14ac:dyDescent="0.25">
      <c r="A6" t="s">
        <v>58</v>
      </c>
      <c r="B6" s="3">
        <v>5.3100000000000001E-2</v>
      </c>
    </row>
    <row r="7" spans="1:2" x14ac:dyDescent="0.25">
      <c r="A7" t="s">
        <v>59</v>
      </c>
      <c r="B7" s="3">
        <v>9.4500000000000001E-2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3"/>
  <sheetViews>
    <sheetView workbookViewId="0">
      <selection activeCell="C3" sqref="C3"/>
    </sheetView>
  </sheetViews>
  <sheetFormatPr defaultRowHeight="15" x14ac:dyDescent="0.25"/>
  <sheetData>
    <row r="1" spans="1:6" s="1" customFormat="1" x14ac:dyDescent="0.25">
      <c r="A1" s="1" t="s">
        <v>179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</row>
    <row r="2" spans="1:6" x14ac:dyDescent="0.25">
      <c r="A2" t="s">
        <v>85</v>
      </c>
      <c r="B2">
        <v>0.41</v>
      </c>
      <c r="C2">
        <v>6.3E-2</v>
      </c>
      <c r="D2">
        <v>0.9</v>
      </c>
      <c r="E2">
        <v>1.4E-2</v>
      </c>
      <c r="F2">
        <v>0.57999999999999996</v>
      </c>
    </row>
    <row r="3" spans="1:6" x14ac:dyDescent="0.25">
      <c r="A3" t="s">
        <v>86</v>
      </c>
      <c r="B3">
        <v>0.77</v>
      </c>
      <c r="D3">
        <v>1.2999999999999999E-2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5"/>
  <sheetViews>
    <sheetView workbookViewId="0">
      <selection activeCell="C22" sqref="C22"/>
    </sheetView>
  </sheetViews>
  <sheetFormatPr defaultRowHeight="15" x14ac:dyDescent="0.25"/>
  <sheetData>
    <row r="1" spans="1:4" s="1" customFormat="1" x14ac:dyDescent="0.25">
      <c r="A1" s="1" t="s">
        <v>87</v>
      </c>
      <c r="B1" s="1" t="s">
        <v>88</v>
      </c>
      <c r="C1" s="1" t="s">
        <v>19</v>
      </c>
      <c r="D1" s="1" t="s">
        <v>89</v>
      </c>
    </row>
    <row r="2" spans="1:4" x14ac:dyDescent="0.25">
      <c r="A2" t="s">
        <v>90</v>
      </c>
      <c r="B2">
        <v>25</v>
      </c>
      <c r="C2" t="s">
        <v>91</v>
      </c>
      <c r="D2" t="s">
        <v>92</v>
      </c>
    </row>
    <row r="3" spans="1:4" x14ac:dyDescent="0.25">
      <c r="A3" t="s">
        <v>93</v>
      </c>
      <c r="B3" t="s">
        <v>94</v>
      </c>
      <c r="C3" t="s">
        <v>91</v>
      </c>
      <c r="D3" t="s">
        <v>92</v>
      </c>
    </row>
    <row r="4" spans="1:4" x14ac:dyDescent="0.25">
      <c r="A4" t="s">
        <v>95</v>
      </c>
      <c r="B4">
        <v>-0.4</v>
      </c>
      <c r="C4" t="s">
        <v>91</v>
      </c>
      <c r="D4" t="s">
        <v>92</v>
      </c>
    </row>
    <row r="5" spans="1:4" x14ac:dyDescent="0.25">
      <c r="A5" t="s">
        <v>96</v>
      </c>
      <c r="B5">
        <v>0.5</v>
      </c>
      <c r="C5" t="s">
        <v>97</v>
      </c>
      <c r="D5" t="s">
        <v>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"/>
  <sheetViews>
    <sheetView workbookViewId="0">
      <selection activeCell="A3" sqref="A3"/>
    </sheetView>
  </sheetViews>
  <sheetFormatPr defaultRowHeight="15" x14ac:dyDescent="0.25"/>
  <sheetData>
    <row r="1" spans="1:5" s="1" customFormat="1" x14ac:dyDescent="0.25">
      <c r="A1" s="1" t="s">
        <v>88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 x14ac:dyDescent="0.25">
      <c r="A2" t="s">
        <v>103</v>
      </c>
      <c r="B2" s="2">
        <v>0.13</v>
      </c>
      <c r="C2" s="2">
        <v>0.17</v>
      </c>
      <c r="D2" s="2">
        <v>0.06</v>
      </c>
      <c r="E2" s="2">
        <v>0.25</v>
      </c>
    </row>
    <row r="3" spans="1:5" x14ac:dyDescent="0.25">
      <c r="A3" t="s">
        <v>104</v>
      </c>
      <c r="B3" s="2">
        <v>0.01</v>
      </c>
      <c r="C3" s="2">
        <v>0.03</v>
      </c>
      <c r="D3" s="2">
        <v>0.01</v>
      </c>
      <c r="E3" s="2">
        <v>0.05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6"/>
  <sheetViews>
    <sheetView workbookViewId="0">
      <selection activeCell="A21" sqref="A21"/>
    </sheetView>
  </sheetViews>
  <sheetFormatPr defaultRowHeight="15" x14ac:dyDescent="0.25"/>
  <cols>
    <col min="1" max="1" width="45.7109375" customWidth="1"/>
    <col min="2" max="2" width="47.7109375" customWidth="1"/>
    <col min="3" max="3" width="34.5703125" customWidth="1"/>
  </cols>
  <sheetData>
    <row r="1" spans="1:3" s="1" customFormat="1" x14ac:dyDescent="0.25">
      <c r="A1" s="1" t="s">
        <v>180</v>
      </c>
      <c r="B1" s="1" t="s">
        <v>105</v>
      </c>
      <c r="C1" s="1" t="s">
        <v>106</v>
      </c>
    </row>
    <row r="2" spans="1:3" x14ac:dyDescent="0.25">
      <c r="A2" t="s">
        <v>107</v>
      </c>
      <c r="B2">
        <v>2</v>
      </c>
      <c r="C2">
        <v>2.34</v>
      </c>
    </row>
    <row r="3" spans="1:3" x14ac:dyDescent="0.25">
      <c r="A3" t="s">
        <v>108</v>
      </c>
      <c r="B3">
        <v>0.87</v>
      </c>
      <c r="C3">
        <v>1.1399999999999999</v>
      </c>
    </row>
    <row r="4" spans="1:3" x14ac:dyDescent="0.25">
      <c r="A4" t="s">
        <v>109</v>
      </c>
      <c r="B4">
        <v>7.44</v>
      </c>
      <c r="C4">
        <v>15</v>
      </c>
    </row>
    <row r="5" spans="1:3" x14ac:dyDescent="0.25">
      <c r="A5" t="s">
        <v>110</v>
      </c>
      <c r="B5">
        <v>12.9</v>
      </c>
      <c r="C5">
        <v>16.100000000000001</v>
      </c>
    </row>
    <row r="6" spans="1:3" x14ac:dyDescent="0.25">
      <c r="A6" t="s">
        <v>111</v>
      </c>
      <c r="B6">
        <v>25.7</v>
      </c>
      <c r="C6">
        <v>29.6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0"/>
  <sheetViews>
    <sheetView workbookViewId="0">
      <selection sqref="A1:D10"/>
    </sheetView>
  </sheetViews>
  <sheetFormatPr defaultRowHeight="15" x14ac:dyDescent="0.25"/>
  <sheetData>
    <row r="1" spans="1:4" s="1" customFormat="1" x14ac:dyDescent="0.25">
      <c r="A1" s="1" t="s">
        <v>112</v>
      </c>
      <c r="B1" s="1" t="s">
        <v>181</v>
      </c>
      <c r="C1" s="1" t="s">
        <v>182</v>
      </c>
      <c r="D1" s="1" t="s">
        <v>113</v>
      </c>
    </row>
    <row r="2" spans="1:4" x14ac:dyDescent="0.25">
      <c r="A2" t="s">
        <v>114</v>
      </c>
      <c r="B2">
        <v>1</v>
      </c>
      <c r="C2">
        <v>1</v>
      </c>
      <c r="D2">
        <v>1.9E-3</v>
      </c>
    </row>
    <row r="3" spans="1:4" x14ac:dyDescent="0.25">
      <c r="A3" t="s">
        <v>114</v>
      </c>
      <c r="B3">
        <v>1.01</v>
      </c>
      <c r="C3">
        <v>2</v>
      </c>
      <c r="D3">
        <v>2.8999999999999998E-3</v>
      </c>
    </row>
    <row r="4" spans="1:4" x14ac:dyDescent="0.25">
      <c r="A4" t="s">
        <v>114</v>
      </c>
      <c r="B4">
        <v>2</v>
      </c>
      <c r="D4">
        <v>3.8E-3</v>
      </c>
    </row>
    <row r="5" spans="1:4" x14ac:dyDescent="0.25">
      <c r="A5" t="s">
        <v>115</v>
      </c>
      <c r="B5">
        <v>1</v>
      </c>
      <c r="C5">
        <v>1</v>
      </c>
      <c r="D5">
        <v>1.4E-3</v>
      </c>
    </row>
    <row r="6" spans="1:4" x14ac:dyDescent="0.25">
      <c r="A6" t="s">
        <v>115</v>
      </c>
      <c r="B6">
        <v>1.01</v>
      </c>
      <c r="C6">
        <v>2</v>
      </c>
      <c r="D6">
        <v>2E-3</v>
      </c>
    </row>
    <row r="7" spans="1:4" x14ac:dyDescent="0.25">
      <c r="A7" t="s">
        <v>115</v>
      </c>
      <c r="B7">
        <v>2</v>
      </c>
      <c r="D7">
        <v>2.7000000000000001E-3</v>
      </c>
    </row>
    <row r="8" spans="1:4" x14ac:dyDescent="0.25">
      <c r="A8" t="s">
        <v>116</v>
      </c>
      <c r="B8">
        <v>1</v>
      </c>
      <c r="C8">
        <v>1</v>
      </c>
      <c r="D8">
        <v>1E-3</v>
      </c>
    </row>
    <row r="9" spans="1:4" x14ac:dyDescent="0.25">
      <c r="A9" t="s">
        <v>116</v>
      </c>
      <c r="B9">
        <v>1.01</v>
      </c>
      <c r="C9">
        <v>2</v>
      </c>
      <c r="D9">
        <v>1.4E-3</v>
      </c>
    </row>
    <row r="10" spans="1:4" x14ac:dyDescent="0.25">
      <c r="A10" t="s">
        <v>116</v>
      </c>
      <c r="B10">
        <v>2</v>
      </c>
      <c r="D10">
        <v>1.9E-3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5"/>
  <sheetViews>
    <sheetView workbookViewId="0">
      <selection activeCell="D10" sqref="D10"/>
    </sheetView>
  </sheetViews>
  <sheetFormatPr defaultRowHeight="15" x14ac:dyDescent="0.25"/>
  <sheetData>
    <row r="1" spans="1:3" s="1" customFormat="1" x14ac:dyDescent="0.25">
      <c r="A1" s="1" t="s">
        <v>117</v>
      </c>
      <c r="B1" s="1" t="s">
        <v>118</v>
      </c>
      <c r="C1" s="1" t="s">
        <v>119</v>
      </c>
    </row>
    <row r="2" spans="1:3" x14ac:dyDescent="0.25">
      <c r="A2" t="s">
        <v>120</v>
      </c>
      <c r="B2">
        <v>0</v>
      </c>
      <c r="C2">
        <v>0</v>
      </c>
    </row>
    <row r="3" spans="1:3" x14ac:dyDescent="0.25">
      <c r="A3">
        <v>3</v>
      </c>
      <c r="B3">
        <v>5.0000000000000001E-4</v>
      </c>
      <c r="C3">
        <v>1E-3</v>
      </c>
    </row>
    <row r="4" spans="1:3" x14ac:dyDescent="0.25">
      <c r="A4" t="s">
        <v>121</v>
      </c>
      <c r="B4">
        <v>1E-3</v>
      </c>
      <c r="C4">
        <v>2E-3</v>
      </c>
    </row>
    <row r="5" spans="1:3" x14ac:dyDescent="0.25">
      <c r="A5" t="s">
        <v>122</v>
      </c>
      <c r="B5">
        <v>1.5E-3</v>
      </c>
      <c r="C5">
        <v>3.0000000000000001E-3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12"/>
  <sheetViews>
    <sheetView workbookViewId="0">
      <selection activeCell="C2" sqref="C2:C4"/>
    </sheetView>
  </sheetViews>
  <sheetFormatPr defaultRowHeight="15" x14ac:dyDescent="0.25"/>
  <sheetData>
    <row r="1" spans="1:5" s="1" customFormat="1" x14ac:dyDescent="0.25">
      <c r="A1" s="1" t="s">
        <v>123</v>
      </c>
      <c r="B1" s="1" t="s">
        <v>124</v>
      </c>
      <c r="C1" s="1" t="s">
        <v>125</v>
      </c>
      <c r="D1" s="1" t="s">
        <v>183</v>
      </c>
      <c r="E1" s="1" t="s">
        <v>184</v>
      </c>
    </row>
    <row r="2" spans="1:5" x14ac:dyDescent="0.25">
      <c r="A2" t="s">
        <v>126</v>
      </c>
      <c r="B2" t="s">
        <v>127</v>
      </c>
      <c r="D2">
        <v>0.16</v>
      </c>
      <c r="E2">
        <v>0.28999999999999998</v>
      </c>
    </row>
    <row r="3" spans="1:5" x14ac:dyDescent="0.25">
      <c r="A3" t="s">
        <v>128</v>
      </c>
      <c r="B3" t="s">
        <v>127</v>
      </c>
      <c r="D3">
        <v>0.39</v>
      </c>
      <c r="E3">
        <v>0.59</v>
      </c>
    </row>
    <row r="4" spans="1:5" x14ac:dyDescent="0.25">
      <c r="A4" t="s">
        <v>126</v>
      </c>
      <c r="B4" t="s">
        <v>129</v>
      </c>
      <c r="D4">
        <v>0.17</v>
      </c>
      <c r="E4">
        <v>0.39</v>
      </c>
    </row>
    <row r="5" spans="1:5" x14ac:dyDescent="0.25">
      <c r="A5" t="s">
        <v>130</v>
      </c>
      <c r="B5" t="s">
        <v>127</v>
      </c>
      <c r="C5" t="s">
        <v>131</v>
      </c>
      <c r="D5">
        <v>0.84</v>
      </c>
    </row>
    <row r="6" spans="1:5" x14ac:dyDescent="0.25">
      <c r="A6" t="s">
        <v>132</v>
      </c>
      <c r="B6" t="s">
        <v>129</v>
      </c>
      <c r="C6" s="4">
        <v>19500</v>
      </c>
      <c r="D6">
        <v>0.84</v>
      </c>
    </row>
    <row r="7" spans="1:5" x14ac:dyDescent="0.25">
      <c r="A7" t="s">
        <v>133</v>
      </c>
      <c r="B7" t="s">
        <v>129</v>
      </c>
      <c r="C7" s="4">
        <v>26000</v>
      </c>
      <c r="D7">
        <v>0.59</v>
      </c>
      <c r="E7">
        <v>1.1000000000000001</v>
      </c>
    </row>
    <row r="8" spans="1:5" x14ac:dyDescent="0.25">
      <c r="A8" t="s">
        <v>130</v>
      </c>
      <c r="B8" t="s">
        <v>129</v>
      </c>
      <c r="C8" t="s">
        <v>134</v>
      </c>
      <c r="D8">
        <v>0.44</v>
      </c>
      <c r="E8">
        <v>1.1399999999999999</v>
      </c>
    </row>
    <row r="9" spans="1:5" x14ac:dyDescent="0.25">
      <c r="A9" t="s">
        <v>135</v>
      </c>
      <c r="B9" t="s">
        <v>129</v>
      </c>
      <c r="C9" s="4">
        <v>30000</v>
      </c>
      <c r="D9">
        <v>0.97</v>
      </c>
    </row>
    <row r="10" spans="1:5" x14ac:dyDescent="0.25">
      <c r="A10" t="s">
        <v>136</v>
      </c>
      <c r="B10" t="s">
        <v>129</v>
      </c>
      <c r="C10" s="4">
        <v>32000</v>
      </c>
      <c r="D10">
        <v>0.49</v>
      </c>
    </row>
    <row r="11" spans="1:5" x14ac:dyDescent="0.25">
      <c r="A11" t="s">
        <v>137</v>
      </c>
      <c r="B11" t="s">
        <v>129</v>
      </c>
      <c r="C11" s="4">
        <v>37000</v>
      </c>
      <c r="D11">
        <v>0.9</v>
      </c>
      <c r="E11">
        <v>1.5</v>
      </c>
    </row>
    <row r="12" spans="1:5" x14ac:dyDescent="0.25">
      <c r="A12" t="s">
        <v>138</v>
      </c>
      <c r="B12" t="s">
        <v>129</v>
      </c>
      <c r="C12" s="4">
        <v>80000</v>
      </c>
      <c r="D12">
        <v>0.64</v>
      </c>
      <c r="E12">
        <v>1.1499999999999999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13"/>
  <sheetViews>
    <sheetView workbookViewId="0">
      <selection activeCell="E23" sqref="E23"/>
    </sheetView>
  </sheetViews>
  <sheetFormatPr defaultRowHeight="15" x14ac:dyDescent="0.25"/>
  <cols>
    <col min="4" max="4" width="27.5703125" bestFit="1" customWidth="1"/>
  </cols>
  <sheetData>
    <row r="1" spans="1:5" s="1" customFormat="1" x14ac:dyDescent="0.25">
      <c r="A1" s="1" t="s">
        <v>68</v>
      </c>
      <c r="B1" s="1" t="s">
        <v>139</v>
      </c>
      <c r="C1" s="1" t="s">
        <v>140</v>
      </c>
      <c r="D1" s="1" t="s">
        <v>141</v>
      </c>
      <c r="E1" s="1" t="s">
        <v>142</v>
      </c>
    </row>
    <row r="2" spans="1:5" x14ac:dyDescent="0.25">
      <c r="A2" t="s">
        <v>143</v>
      </c>
      <c r="B2" t="s">
        <v>144</v>
      </c>
      <c r="C2" t="s">
        <v>145</v>
      </c>
      <c r="D2" t="s">
        <v>146</v>
      </c>
      <c r="E2" t="s">
        <v>147</v>
      </c>
    </row>
    <row r="3" spans="1:5" x14ac:dyDescent="0.25">
      <c r="A3" t="s">
        <v>148</v>
      </c>
      <c r="B3" t="s">
        <v>149</v>
      </c>
      <c r="C3" t="s">
        <v>150</v>
      </c>
      <c r="D3" t="s">
        <v>151</v>
      </c>
      <c r="E3" t="s">
        <v>152</v>
      </c>
    </row>
    <row r="4" spans="1:5" x14ac:dyDescent="0.25">
      <c r="A4" t="s">
        <v>153</v>
      </c>
      <c r="B4" t="s">
        <v>154</v>
      </c>
      <c r="C4" t="s">
        <v>155</v>
      </c>
      <c r="D4" t="s">
        <v>185</v>
      </c>
      <c r="E4">
        <v>0.1</v>
      </c>
    </row>
    <row r="5" spans="1:5" x14ac:dyDescent="0.25">
      <c r="A5" t="s">
        <v>153</v>
      </c>
      <c r="B5" t="s">
        <v>154</v>
      </c>
      <c r="C5" t="s">
        <v>155</v>
      </c>
      <c r="D5" t="s">
        <v>146</v>
      </c>
      <c r="E5">
        <v>0.39</v>
      </c>
    </row>
    <row r="6" spans="1:5" x14ac:dyDescent="0.25">
      <c r="A6" t="s">
        <v>156</v>
      </c>
      <c r="B6" t="s">
        <v>157</v>
      </c>
      <c r="C6" t="s">
        <v>158</v>
      </c>
      <c r="D6" t="s">
        <v>185</v>
      </c>
      <c r="E6">
        <v>0.59</v>
      </c>
    </row>
    <row r="7" spans="1:5" x14ac:dyDescent="0.25">
      <c r="A7" t="s">
        <v>156</v>
      </c>
      <c r="B7" t="s">
        <v>157</v>
      </c>
      <c r="C7" t="s">
        <v>158</v>
      </c>
      <c r="D7" t="s">
        <v>186</v>
      </c>
      <c r="E7">
        <v>0.79</v>
      </c>
    </row>
    <row r="8" spans="1:5" x14ac:dyDescent="0.25">
      <c r="A8" t="s">
        <v>159</v>
      </c>
      <c r="B8" t="s">
        <v>160</v>
      </c>
      <c r="C8" t="s">
        <v>161</v>
      </c>
      <c r="D8" t="s">
        <v>185</v>
      </c>
      <c r="E8" t="s">
        <v>187</v>
      </c>
    </row>
    <row r="9" spans="1:5" x14ac:dyDescent="0.25">
      <c r="A9" t="s">
        <v>159</v>
      </c>
      <c r="B9" t="s">
        <v>160</v>
      </c>
      <c r="C9" t="s">
        <v>161</v>
      </c>
      <c r="D9" t="s">
        <v>146</v>
      </c>
      <c r="E9" t="s">
        <v>188</v>
      </c>
    </row>
    <row r="10" spans="1:5" x14ac:dyDescent="0.25">
      <c r="A10" t="s">
        <v>162</v>
      </c>
      <c r="B10" t="s">
        <v>163</v>
      </c>
      <c r="C10" t="s">
        <v>164</v>
      </c>
      <c r="D10" t="s">
        <v>185</v>
      </c>
      <c r="E10">
        <v>0.28000000000000003</v>
      </c>
    </row>
    <row r="11" spans="1:5" x14ac:dyDescent="0.25">
      <c r="A11" t="s">
        <v>162</v>
      </c>
      <c r="B11" t="s">
        <v>163</v>
      </c>
      <c r="C11" t="s">
        <v>164</v>
      </c>
      <c r="D11" t="s">
        <v>146</v>
      </c>
      <c r="E11">
        <v>0.9</v>
      </c>
    </row>
    <row r="12" spans="1:5" x14ac:dyDescent="0.25">
      <c r="A12" t="s">
        <v>165</v>
      </c>
      <c r="B12" t="s">
        <v>157</v>
      </c>
      <c r="C12" t="s">
        <v>166</v>
      </c>
      <c r="D12" t="s">
        <v>185</v>
      </c>
      <c r="E12">
        <v>0.2</v>
      </c>
    </row>
    <row r="13" spans="1:5" x14ac:dyDescent="0.25">
      <c r="A13" t="s">
        <v>165</v>
      </c>
      <c r="B13" t="s">
        <v>157</v>
      </c>
      <c r="C13" t="s">
        <v>166</v>
      </c>
      <c r="D13" t="s">
        <v>146</v>
      </c>
      <c r="E13" t="s">
        <v>189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7"/>
  <sheetViews>
    <sheetView workbookViewId="0">
      <selection activeCell="D21" sqref="D21"/>
    </sheetView>
  </sheetViews>
  <sheetFormatPr defaultRowHeight="15" x14ac:dyDescent="0.25"/>
  <sheetData>
    <row r="1" spans="1:5" s="1" customFormat="1" x14ac:dyDescent="0.25">
      <c r="A1" s="1" t="s">
        <v>190</v>
      </c>
      <c r="B1" s="1" t="s">
        <v>167</v>
      </c>
      <c r="C1" s="1" t="s">
        <v>168</v>
      </c>
      <c r="D1" s="1" t="s">
        <v>169</v>
      </c>
      <c r="E1" s="1" t="s">
        <v>170</v>
      </c>
    </row>
    <row r="2" spans="1:5" x14ac:dyDescent="0.25">
      <c r="A2" t="s">
        <v>171</v>
      </c>
      <c r="B2" s="4">
        <v>6398393</v>
      </c>
      <c r="C2" s="4">
        <v>7886579</v>
      </c>
      <c r="D2" s="4">
        <v>11639444</v>
      </c>
      <c r="E2" s="4">
        <v>11692704</v>
      </c>
    </row>
    <row r="3" spans="1:5" x14ac:dyDescent="0.25">
      <c r="A3" t="s">
        <v>172</v>
      </c>
      <c r="B3">
        <v>36.950000000000003</v>
      </c>
      <c r="C3">
        <v>45.55</v>
      </c>
      <c r="D3">
        <v>67.22</v>
      </c>
      <c r="E3">
        <v>67.53</v>
      </c>
    </row>
    <row r="4" spans="1:5" x14ac:dyDescent="0.25">
      <c r="A4" t="s">
        <v>173</v>
      </c>
      <c r="B4">
        <v>409.73</v>
      </c>
      <c r="C4">
        <v>409.73</v>
      </c>
      <c r="D4">
        <v>175.45</v>
      </c>
      <c r="E4">
        <v>175.45</v>
      </c>
    </row>
    <row r="5" spans="1:5" x14ac:dyDescent="0.25">
      <c r="A5" t="s">
        <v>174</v>
      </c>
      <c r="B5" s="3">
        <v>8.3000000000000004E-2</v>
      </c>
      <c r="C5" s="3">
        <v>0.1</v>
      </c>
      <c r="D5" s="3">
        <v>0.27700000000000002</v>
      </c>
      <c r="E5" s="3">
        <v>0.27800000000000002</v>
      </c>
    </row>
    <row r="6" spans="1:5" x14ac:dyDescent="0.25">
      <c r="A6" t="s">
        <v>175</v>
      </c>
      <c r="B6">
        <v>446.68</v>
      </c>
      <c r="C6">
        <v>455.28</v>
      </c>
      <c r="D6">
        <v>242.67</v>
      </c>
      <c r="E6">
        <v>242.98</v>
      </c>
    </row>
    <row r="7" spans="1:5" x14ac:dyDescent="0.25">
      <c r="A7" t="s">
        <v>176</v>
      </c>
      <c r="D7" s="2">
        <v>-0.45</v>
      </c>
      <c r="E7" s="2">
        <v>-0.46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6F369-1B95-458E-A555-6CC2EF2B1D77}">
  <dimension ref="A1:E184"/>
  <sheetViews>
    <sheetView workbookViewId="0">
      <selection activeCell="B62" sqref="B2:B62"/>
    </sheetView>
  </sheetViews>
  <sheetFormatPr defaultRowHeight="15" x14ac:dyDescent="0.25"/>
  <sheetData>
    <row r="1" spans="1:5" x14ac:dyDescent="0.25">
      <c r="A1" t="s">
        <v>191</v>
      </c>
      <c r="B1" t="s">
        <v>192</v>
      </c>
      <c r="C1" t="s">
        <v>193</v>
      </c>
      <c r="D1" t="s">
        <v>194</v>
      </c>
      <c r="E1" t="s">
        <v>195</v>
      </c>
    </row>
    <row r="2" spans="1:5" x14ac:dyDescent="0.25">
      <c r="A2" t="s">
        <v>196</v>
      </c>
      <c r="B2">
        <v>2020</v>
      </c>
      <c r="C2">
        <v>117</v>
      </c>
      <c r="D2">
        <v>193</v>
      </c>
      <c r="E2">
        <v>337</v>
      </c>
    </row>
    <row r="3" spans="1:5" x14ac:dyDescent="0.25">
      <c r="A3" t="s">
        <v>196</v>
      </c>
      <c r="B3">
        <v>2021</v>
      </c>
      <c r="C3">
        <v>119</v>
      </c>
      <c r="D3">
        <v>197</v>
      </c>
      <c r="E3">
        <v>341</v>
      </c>
    </row>
    <row r="4" spans="1:5" x14ac:dyDescent="0.25">
      <c r="A4" t="s">
        <v>196</v>
      </c>
      <c r="B4">
        <v>2022</v>
      </c>
      <c r="C4">
        <v>122</v>
      </c>
      <c r="D4">
        <v>200</v>
      </c>
      <c r="E4">
        <v>346</v>
      </c>
    </row>
    <row r="5" spans="1:5" x14ac:dyDescent="0.25">
      <c r="A5" t="s">
        <v>196</v>
      </c>
      <c r="B5">
        <v>2023</v>
      </c>
      <c r="C5">
        <v>125</v>
      </c>
      <c r="D5">
        <v>204</v>
      </c>
      <c r="E5">
        <v>351</v>
      </c>
    </row>
    <row r="6" spans="1:5" x14ac:dyDescent="0.25">
      <c r="A6" t="s">
        <v>196</v>
      </c>
      <c r="B6">
        <v>2024</v>
      </c>
      <c r="C6">
        <v>128</v>
      </c>
      <c r="D6">
        <v>208</v>
      </c>
      <c r="E6">
        <v>356</v>
      </c>
    </row>
    <row r="7" spans="1:5" x14ac:dyDescent="0.25">
      <c r="A7" t="s">
        <v>196</v>
      </c>
      <c r="B7">
        <v>2025</v>
      </c>
      <c r="C7">
        <v>130</v>
      </c>
      <c r="D7">
        <v>212</v>
      </c>
      <c r="E7">
        <v>360</v>
      </c>
    </row>
    <row r="8" spans="1:5" x14ac:dyDescent="0.25">
      <c r="A8" t="s">
        <v>196</v>
      </c>
      <c r="B8">
        <v>2026</v>
      </c>
      <c r="C8">
        <v>133</v>
      </c>
      <c r="D8">
        <v>215</v>
      </c>
      <c r="E8">
        <v>365</v>
      </c>
    </row>
    <row r="9" spans="1:5" x14ac:dyDescent="0.25">
      <c r="A9" t="s">
        <v>196</v>
      </c>
      <c r="B9">
        <v>2027</v>
      </c>
      <c r="C9">
        <v>136</v>
      </c>
      <c r="D9">
        <v>219</v>
      </c>
      <c r="E9">
        <v>370</v>
      </c>
    </row>
    <row r="10" spans="1:5" x14ac:dyDescent="0.25">
      <c r="A10" t="s">
        <v>196</v>
      </c>
      <c r="B10">
        <v>2028</v>
      </c>
      <c r="C10">
        <v>139</v>
      </c>
      <c r="D10">
        <v>223</v>
      </c>
      <c r="E10">
        <v>375</v>
      </c>
    </row>
    <row r="11" spans="1:5" x14ac:dyDescent="0.25">
      <c r="A11" t="s">
        <v>196</v>
      </c>
      <c r="B11">
        <v>2029</v>
      </c>
      <c r="C11">
        <v>141</v>
      </c>
      <c r="D11">
        <v>226</v>
      </c>
      <c r="E11">
        <v>380</v>
      </c>
    </row>
    <row r="12" spans="1:5" x14ac:dyDescent="0.25">
      <c r="A12" t="s">
        <v>196</v>
      </c>
      <c r="B12">
        <v>2030</v>
      </c>
      <c r="C12">
        <v>144</v>
      </c>
      <c r="D12">
        <v>230</v>
      </c>
      <c r="E12">
        <v>384</v>
      </c>
    </row>
    <row r="13" spans="1:5" x14ac:dyDescent="0.25">
      <c r="A13" t="s">
        <v>196</v>
      </c>
      <c r="B13">
        <v>2031</v>
      </c>
      <c r="C13">
        <v>147</v>
      </c>
      <c r="D13">
        <v>234</v>
      </c>
      <c r="E13">
        <v>389</v>
      </c>
    </row>
    <row r="14" spans="1:5" x14ac:dyDescent="0.25">
      <c r="A14" t="s">
        <v>196</v>
      </c>
      <c r="B14">
        <v>2032</v>
      </c>
      <c r="C14">
        <v>150</v>
      </c>
      <c r="D14">
        <v>237</v>
      </c>
      <c r="E14">
        <v>394</v>
      </c>
    </row>
    <row r="15" spans="1:5" x14ac:dyDescent="0.25">
      <c r="A15" t="s">
        <v>196</v>
      </c>
      <c r="B15">
        <v>2033</v>
      </c>
      <c r="C15">
        <v>153</v>
      </c>
      <c r="D15">
        <v>241</v>
      </c>
      <c r="E15">
        <v>398</v>
      </c>
    </row>
    <row r="16" spans="1:5" x14ac:dyDescent="0.25">
      <c r="A16" t="s">
        <v>196</v>
      </c>
      <c r="B16">
        <v>2034</v>
      </c>
      <c r="C16">
        <v>155</v>
      </c>
      <c r="D16">
        <v>245</v>
      </c>
      <c r="E16">
        <v>403</v>
      </c>
    </row>
    <row r="17" spans="1:5" x14ac:dyDescent="0.25">
      <c r="A17" t="s">
        <v>196</v>
      </c>
      <c r="B17">
        <v>2035</v>
      </c>
      <c r="C17">
        <v>158</v>
      </c>
      <c r="D17">
        <v>248</v>
      </c>
      <c r="E17">
        <v>408</v>
      </c>
    </row>
    <row r="18" spans="1:5" x14ac:dyDescent="0.25">
      <c r="A18" t="s">
        <v>196</v>
      </c>
      <c r="B18">
        <v>2036</v>
      </c>
      <c r="C18">
        <v>161</v>
      </c>
      <c r="D18">
        <v>252</v>
      </c>
      <c r="E18">
        <v>412</v>
      </c>
    </row>
    <row r="19" spans="1:5" x14ac:dyDescent="0.25">
      <c r="A19" t="s">
        <v>196</v>
      </c>
      <c r="B19">
        <v>2037</v>
      </c>
      <c r="C19">
        <v>164</v>
      </c>
      <c r="D19">
        <v>256</v>
      </c>
      <c r="E19">
        <v>417</v>
      </c>
    </row>
    <row r="20" spans="1:5" x14ac:dyDescent="0.25">
      <c r="A20" t="s">
        <v>196</v>
      </c>
      <c r="B20">
        <v>2038</v>
      </c>
      <c r="C20">
        <v>167</v>
      </c>
      <c r="D20">
        <v>259</v>
      </c>
      <c r="E20">
        <v>422</v>
      </c>
    </row>
    <row r="21" spans="1:5" x14ac:dyDescent="0.25">
      <c r="A21" t="s">
        <v>196</v>
      </c>
      <c r="B21">
        <v>2039</v>
      </c>
      <c r="C21">
        <v>170</v>
      </c>
      <c r="D21">
        <v>263</v>
      </c>
      <c r="E21">
        <v>426</v>
      </c>
    </row>
    <row r="22" spans="1:5" x14ac:dyDescent="0.25">
      <c r="A22" t="s">
        <v>196</v>
      </c>
      <c r="B22">
        <v>2040</v>
      </c>
      <c r="C22">
        <v>173</v>
      </c>
      <c r="D22">
        <v>267</v>
      </c>
      <c r="E22">
        <v>431</v>
      </c>
    </row>
    <row r="23" spans="1:5" x14ac:dyDescent="0.25">
      <c r="A23" t="s">
        <v>196</v>
      </c>
      <c r="B23">
        <v>2041</v>
      </c>
      <c r="C23">
        <v>176</v>
      </c>
      <c r="D23">
        <v>271</v>
      </c>
      <c r="E23">
        <v>436</v>
      </c>
    </row>
    <row r="24" spans="1:5" x14ac:dyDescent="0.25">
      <c r="A24" t="s">
        <v>196</v>
      </c>
      <c r="B24">
        <v>2042</v>
      </c>
      <c r="C24">
        <v>179</v>
      </c>
      <c r="D24">
        <v>275</v>
      </c>
      <c r="E24">
        <v>441</v>
      </c>
    </row>
    <row r="25" spans="1:5" x14ac:dyDescent="0.25">
      <c r="A25" t="s">
        <v>196</v>
      </c>
      <c r="B25">
        <v>2043</v>
      </c>
      <c r="C25">
        <v>182</v>
      </c>
      <c r="D25">
        <v>279</v>
      </c>
      <c r="E25">
        <v>446</v>
      </c>
    </row>
    <row r="26" spans="1:5" x14ac:dyDescent="0.25">
      <c r="A26" t="s">
        <v>196</v>
      </c>
      <c r="B26">
        <v>2044</v>
      </c>
      <c r="C26">
        <v>186</v>
      </c>
      <c r="D26">
        <v>283</v>
      </c>
      <c r="E26">
        <v>451</v>
      </c>
    </row>
    <row r="27" spans="1:5" x14ac:dyDescent="0.25">
      <c r="A27" t="s">
        <v>196</v>
      </c>
      <c r="B27">
        <v>2045</v>
      </c>
      <c r="C27">
        <v>189</v>
      </c>
      <c r="D27">
        <v>287</v>
      </c>
      <c r="E27">
        <v>456</v>
      </c>
    </row>
    <row r="28" spans="1:5" x14ac:dyDescent="0.25">
      <c r="A28" t="s">
        <v>196</v>
      </c>
      <c r="B28">
        <v>2046</v>
      </c>
      <c r="C28">
        <v>192</v>
      </c>
      <c r="D28">
        <v>291</v>
      </c>
      <c r="E28">
        <v>462</v>
      </c>
    </row>
    <row r="29" spans="1:5" x14ac:dyDescent="0.25">
      <c r="A29" t="s">
        <v>196</v>
      </c>
      <c r="B29">
        <v>2047</v>
      </c>
      <c r="C29">
        <v>195</v>
      </c>
      <c r="D29">
        <v>296</v>
      </c>
      <c r="E29">
        <v>467</v>
      </c>
    </row>
    <row r="30" spans="1:5" x14ac:dyDescent="0.25">
      <c r="A30" t="s">
        <v>196</v>
      </c>
      <c r="B30">
        <v>2048</v>
      </c>
      <c r="C30">
        <v>199</v>
      </c>
      <c r="D30">
        <v>300</v>
      </c>
      <c r="E30">
        <v>472</v>
      </c>
    </row>
    <row r="31" spans="1:5" x14ac:dyDescent="0.25">
      <c r="A31" t="s">
        <v>196</v>
      </c>
      <c r="B31">
        <v>2049</v>
      </c>
      <c r="C31">
        <v>202</v>
      </c>
      <c r="D31">
        <v>304</v>
      </c>
      <c r="E31">
        <v>477</v>
      </c>
    </row>
    <row r="32" spans="1:5" x14ac:dyDescent="0.25">
      <c r="A32" t="s">
        <v>196</v>
      </c>
      <c r="B32">
        <v>2050</v>
      </c>
      <c r="C32">
        <v>205</v>
      </c>
      <c r="D32">
        <v>308</v>
      </c>
      <c r="E32">
        <v>482</v>
      </c>
    </row>
    <row r="33" spans="1:5" x14ac:dyDescent="0.25">
      <c r="A33" t="s">
        <v>196</v>
      </c>
      <c r="B33">
        <v>2051</v>
      </c>
      <c r="C33">
        <v>208</v>
      </c>
      <c r="D33">
        <v>312</v>
      </c>
      <c r="E33">
        <v>487</v>
      </c>
    </row>
    <row r="34" spans="1:5" x14ac:dyDescent="0.25">
      <c r="A34" t="s">
        <v>196</v>
      </c>
      <c r="B34">
        <v>2052</v>
      </c>
      <c r="C34">
        <v>211</v>
      </c>
      <c r="D34">
        <v>315</v>
      </c>
      <c r="E34">
        <v>491</v>
      </c>
    </row>
    <row r="35" spans="1:5" x14ac:dyDescent="0.25">
      <c r="A35" t="s">
        <v>196</v>
      </c>
      <c r="B35">
        <v>2053</v>
      </c>
      <c r="C35">
        <v>214</v>
      </c>
      <c r="D35">
        <v>319</v>
      </c>
      <c r="E35">
        <v>496</v>
      </c>
    </row>
    <row r="36" spans="1:5" x14ac:dyDescent="0.25">
      <c r="A36" t="s">
        <v>196</v>
      </c>
      <c r="B36">
        <v>2054</v>
      </c>
      <c r="C36">
        <v>217</v>
      </c>
      <c r="D36">
        <v>323</v>
      </c>
      <c r="E36">
        <v>500</v>
      </c>
    </row>
    <row r="37" spans="1:5" x14ac:dyDescent="0.25">
      <c r="A37" t="s">
        <v>196</v>
      </c>
      <c r="B37">
        <v>2055</v>
      </c>
      <c r="C37">
        <v>220</v>
      </c>
      <c r="D37">
        <v>326</v>
      </c>
      <c r="E37">
        <v>505</v>
      </c>
    </row>
    <row r="38" spans="1:5" x14ac:dyDescent="0.25">
      <c r="A38" t="s">
        <v>196</v>
      </c>
      <c r="B38">
        <v>2056</v>
      </c>
      <c r="C38">
        <v>222</v>
      </c>
      <c r="D38">
        <v>330</v>
      </c>
      <c r="E38">
        <v>510</v>
      </c>
    </row>
    <row r="39" spans="1:5" x14ac:dyDescent="0.25">
      <c r="A39" t="s">
        <v>196</v>
      </c>
      <c r="B39">
        <v>2057</v>
      </c>
      <c r="C39">
        <v>225</v>
      </c>
      <c r="D39">
        <v>334</v>
      </c>
      <c r="E39">
        <v>514</v>
      </c>
    </row>
    <row r="40" spans="1:5" x14ac:dyDescent="0.25">
      <c r="A40" t="s">
        <v>196</v>
      </c>
      <c r="B40">
        <v>2058</v>
      </c>
      <c r="C40">
        <v>228</v>
      </c>
      <c r="D40">
        <v>338</v>
      </c>
      <c r="E40">
        <v>519</v>
      </c>
    </row>
    <row r="41" spans="1:5" x14ac:dyDescent="0.25">
      <c r="A41" t="s">
        <v>196</v>
      </c>
      <c r="B41">
        <v>2059</v>
      </c>
      <c r="C41">
        <v>231</v>
      </c>
      <c r="D41">
        <v>341</v>
      </c>
      <c r="E41">
        <v>523</v>
      </c>
    </row>
    <row r="42" spans="1:5" x14ac:dyDescent="0.25">
      <c r="A42" t="s">
        <v>196</v>
      </c>
      <c r="B42">
        <v>2060</v>
      </c>
      <c r="C42">
        <v>234</v>
      </c>
      <c r="D42">
        <v>345</v>
      </c>
      <c r="E42">
        <v>528</v>
      </c>
    </row>
    <row r="43" spans="1:5" x14ac:dyDescent="0.25">
      <c r="A43" t="s">
        <v>196</v>
      </c>
      <c r="B43">
        <v>2061</v>
      </c>
      <c r="C43">
        <v>236</v>
      </c>
      <c r="D43">
        <v>348</v>
      </c>
      <c r="E43">
        <v>532</v>
      </c>
    </row>
    <row r="44" spans="1:5" x14ac:dyDescent="0.25">
      <c r="A44" t="s">
        <v>196</v>
      </c>
      <c r="B44">
        <v>2062</v>
      </c>
      <c r="C44">
        <v>239</v>
      </c>
      <c r="D44">
        <v>351</v>
      </c>
      <c r="E44">
        <v>535</v>
      </c>
    </row>
    <row r="45" spans="1:5" x14ac:dyDescent="0.25">
      <c r="A45" t="s">
        <v>196</v>
      </c>
      <c r="B45">
        <v>2063</v>
      </c>
      <c r="C45">
        <v>241</v>
      </c>
      <c r="D45">
        <v>354</v>
      </c>
      <c r="E45">
        <v>539</v>
      </c>
    </row>
    <row r="46" spans="1:5" x14ac:dyDescent="0.25">
      <c r="A46" t="s">
        <v>196</v>
      </c>
      <c r="B46">
        <v>2064</v>
      </c>
      <c r="C46">
        <v>244</v>
      </c>
      <c r="D46">
        <v>357</v>
      </c>
      <c r="E46">
        <v>543</v>
      </c>
    </row>
    <row r="47" spans="1:5" x14ac:dyDescent="0.25">
      <c r="A47" t="s">
        <v>196</v>
      </c>
      <c r="B47">
        <v>2065</v>
      </c>
      <c r="C47">
        <v>246</v>
      </c>
      <c r="D47">
        <v>360</v>
      </c>
      <c r="E47">
        <v>547</v>
      </c>
    </row>
    <row r="48" spans="1:5" x14ac:dyDescent="0.25">
      <c r="A48" t="s">
        <v>196</v>
      </c>
      <c r="B48">
        <v>2066</v>
      </c>
      <c r="C48">
        <v>248</v>
      </c>
      <c r="D48">
        <v>363</v>
      </c>
      <c r="E48">
        <v>550</v>
      </c>
    </row>
    <row r="49" spans="1:5" x14ac:dyDescent="0.25">
      <c r="A49" t="s">
        <v>196</v>
      </c>
      <c r="B49">
        <v>2067</v>
      </c>
      <c r="C49">
        <v>251</v>
      </c>
      <c r="D49">
        <v>366</v>
      </c>
      <c r="E49">
        <v>554</v>
      </c>
    </row>
    <row r="50" spans="1:5" x14ac:dyDescent="0.25">
      <c r="A50" t="s">
        <v>196</v>
      </c>
      <c r="B50">
        <v>2068</v>
      </c>
      <c r="C50">
        <v>253</v>
      </c>
      <c r="D50">
        <v>369</v>
      </c>
      <c r="E50">
        <v>558</v>
      </c>
    </row>
    <row r="51" spans="1:5" x14ac:dyDescent="0.25">
      <c r="A51" t="s">
        <v>196</v>
      </c>
      <c r="B51">
        <v>2069</v>
      </c>
      <c r="C51">
        <v>256</v>
      </c>
      <c r="D51">
        <v>372</v>
      </c>
      <c r="E51">
        <v>562</v>
      </c>
    </row>
    <row r="52" spans="1:5" x14ac:dyDescent="0.25">
      <c r="A52" t="s">
        <v>196</v>
      </c>
      <c r="B52">
        <v>2070</v>
      </c>
      <c r="C52">
        <v>258</v>
      </c>
      <c r="D52">
        <v>375</v>
      </c>
      <c r="E52">
        <v>565</v>
      </c>
    </row>
    <row r="53" spans="1:5" x14ac:dyDescent="0.25">
      <c r="A53" t="s">
        <v>196</v>
      </c>
      <c r="B53">
        <v>2071</v>
      </c>
      <c r="C53">
        <v>261</v>
      </c>
      <c r="D53">
        <v>378</v>
      </c>
      <c r="E53">
        <v>569</v>
      </c>
    </row>
    <row r="54" spans="1:5" x14ac:dyDescent="0.25">
      <c r="A54" t="s">
        <v>196</v>
      </c>
      <c r="B54">
        <v>2072</v>
      </c>
      <c r="C54">
        <v>263</v>
      </c>
      <c r="D54">
        <v>382</v>
      </c>
      <c r="E54">
        <v>573</v>
      </c>
    </row>
    <row r="55" spans="1:5" x14ac:dyDescent="0.25">
      <c r="A55" t="s">
        <v>196</v>
      </c>
      <c r="B55">
        <v>2073</v>
      </c>
      <c r="C55">
        <v>266</v>
      </c>
      <c r="D55">
        <v>385</v>
      </c>
      <c r="E55">
        <v>576</v>
      </c>
    </row>
    <row r="56" spans="1:5" x14ac:dyDescent="0.25">
      <c r="A56" t="s">
        <v>196</v>
      </c>
      <c r="B56">
        <v>2074</v>
      </c>
      <c r="C56">
        <v>269</v>
      </c>
      <c r="D56">
        <v>388</v>
      </c>
      <c r="E56">
        <v>580</v>
      </c>
    </row>
    <row r="57" spans="1:5" x14ac:dyDescent="0.25">
      <c r="A57" t="s">
        <v>196</v>
      </c>
      <c r="B57">
        <v>2075</v>
      </c>
      <c r="C57">
        <v>271</v>
      </c>
      <c r="D57">
        <v>391</v>
      </c>
      <c r="E57">
        <v>583</v>
      </c>
    </row>
    <row r="58" spans="1:5" x14ac:dyDescent="0.25">
      <c r="A58" t="s">
        <v>196</v>
      </c>
      <c r="B58">
        <v>2076</v>
      </c>
      <c r="C58">
        <v>274</v>
      </c>
      <c r="D58">
        <v>394</v>
      </c>
      <c r="E58">
        <v>587</v>
      </c>
    </row>
    <row r="59" spans="1:5" x14ac:dyDescent="0.25">
      <c r="A59" t="s">
        <v>196</v>
      </c>
      <c r="B59">
        <v>2077</v>
      </c>
      <c r="C59">
        <v>276</v>
      </c>
      <c r="D59">
        <v>398</v>
      </c>
      <c r="E59">
        <v>591</v>
      </c>
    </row>
    <row r="60" spans="1:5" x14ac:dyDescent="0.25">
      <c r="A60" t="s">
        <v>196</v>
      </c>
      <c r="B60">
        <v>2078</v>
      </c>
      <c r="C60">
        <v>279</v>
      </c>
      <c r="D60">
        <v>401</v>
      </c>
      <c r="E60">
        <v>594</v>
      </c>
    </row>
    <row r="61" spans="1:5" x14ac:dyDescent="0.25">
      <c r="A61" t="s">
        <v>196</v>
      </c>
      <c r="B61">
        <v>2079</v>
      </c>
      <c r="C61">
        <v>282</v>
      </c>
      <c r="D61">
        <v>404</v>
      </c>
      <c r="E61">
        <v>598</v>
      </c>
    </row>
    <row r="62" spans="1:5" x14ac:dyDescent="0.25">
      <c r="A62" t="s">
        <v>196</v>
      </c>
      <c r="B62">
        <v>2080</v>
      </c>
      <c r="C62">
        <v>284</v>
      </c>
      <c r="D62">
        <v>407</v>
      </c>
      <c r="E62">
        <v>601</v>
      </c>
    </row>
    <row r="63" spans="1:5" x14ac:dyDescent="0.25">
      <c r="A63" t="s">
        <v>197</v>
      </c>
      <c r="B63">
        <v>2020</v>
      </c>
      <c r="C63" s="4">
        <v>1257</v>
      </c>
      <c r="D63" s="4">
        <v>1648</v>
      </c>
      <c r="E63" s="4">
        <v>2305</v>
      </c>
    </row>
    <row r="64" spans="1:5" x14ac:dyDescent="0.25">
      <c r="A64" t="s">
        <v>197</v>
      </c>
      <c r="B64">
        <v>2021</v>
      </c>
      <c r="C64" s="4">
        <v>1324</v>
      </c>
      <c r="D64" s="4">
        <v>1723</v>
      </c>
      <c r="E64" s="4">
        <v>2391</v>
      </c>
    </row>
    <row r="65" spans="1:5" x14ac:dyDescent="0.25">
      <c r="A65" t="s">
        <v>197</v>
      </c>
      <c r="B65">
        <v>2022</v>
      </c>
      <c r="C65" s="4">
        <v>1390</v>
      </c>
      <c r="D65" s="4">
        <v>1799</v>
      </c>
      <c r="E65" s="4">
        <v>2478</v>
      </c>
    </row>
    <row r="66" spans="1:5" x14ac:dyDescent="0.25">
      <c r="A66" t="s">
        <v>197</v>
      </c>
      <c r="B66">
        <v>2023</v>
      </c>
      <c r="C66" s="4">
        <v>1457</v>
      </c>
      <c r="D66" s="4">
        <v>1874</v>
      </c>
      <c r="E66" s="4">
        <v>2564</v>
      </c>
    </row>
    <row r="67" spans="1:5" x14ac:dyDescent="0.25">
      <c r="A67" t="s">
        <v>197</v>
      </c>
      <c r="B67">
        <v>2024</v>
      </c>
      <c r="C67" s="4">
        <v>1524</v>
      </c>
      <c r="D67" s="4">
        <v>1950</v>
      </c>
      <c r="E67" s="4">
        <v>2650</v>
      </c>
    </row>
    <row r="68" spans="1:5" x14ac:dyDescent="0.25">
      <c r="A68" t="s">
        <v>197</v>
      </c>
      <c r="B68">
        <v>2025</v>
      </c>
      <c r="C68" s="4">
        <v>1590</v>
      </c>
      <c r="D68" s="4">
        <v>2025</v>
      </c>
      <c r="E68" s="4">
        <v>2737</v>
      </c>
    </row>
    <row r="69" spans="1:5" x14ac:dyDescent="0.25">
      <c r="A69" t="s">
        <v>197</v>
      </c>
      <c r="B69">
        <v>2026</v>
      </c>
      <c r="C69" s="4">
        <v>1657</v>
      </c>
      <c r="D69" s="4">
        <v>2101</v>
      </c>
      <c r="E69" s="4">
        <v>2823</v>
      </c>
    </row>
    <row r="70" spans="1:5" x14ac:dyDescent="0.25">
      <c r="A70" t="s">
        <v>197</v>
      </c>
      <c r="B70">
        <v>2027</v>
      </c>
      <c r="C70" s="4">
        <v>1724</v>
      </c>
      <c r="D70" s="4">
        <v>2176</v>
      </c>
      <c r="E70" s="4">
        <v>2910</v>
      </c>
    </row>
    <row r="71" spans="1:5" x14ac:dyDescent="0.25">
      <c r="A71" t="s">
        <v>197</v>
      </c>
      <c r="B71">
        <v>2028</v>
      </c>
      <c r="C71" s="4">
        <v>1791</v>
      </c>
      <c r="D71" s="4">
        <v>2252</v>
      </c>
      <c r="E71" s="4">
        <v>2996</v>
      </c>
    </row>
    <row r="72" spans="1:5" x14ac:dyDescent="0.25">
      <c r="A72" t="s">
        <v>197</v>
      </c>
      <c r="B72">
        <v>2029</v>
      </c>
      <c r="C72" s="4">
        <v>1857</v>
      </c>
      <c r="D72" s="4">
        <v>2327</v>
      </c>
      <c r="E72" s="4">
        <v>3083</v>
      </c>
    </row>
    <row r="73" spans="1:5" x14ac:dyDescent="0.25">
      <c r="A73" t="s">
        <v>197</v>
      </c>
      <c r="B73">
        <v>2030</v>
      </c>
      <c r="C73" s="4">
        <v>1924</v>
      </c>
      <c r="D73" s="4">
        <v>2403</v>
      </c>
      <c r="E73" s="4">
        <v>3169</v>
      </c>
    </row>
    <row r="74" spans="1:5" x14ac:dyDescent="0.25">
      <c r="A74" t="s">
        <v>197</v>
      </c>
      <c r="B74">
        <v>2031</v>
      </c>
      <c r="C74" s="4">
        <v>2002</v>
      </c>
      <c r="D74" s="4">
        <v>2490</v>
      </c>
      <c r="E74" s="4">
        <v>3270</v>
      </c>
    </row>
    <row r="75" spans="1:5" x14ac:dyDescent="0.25">
      <c r="A75" t="s">
        <v>197</v>
      </c>
      <c r="B75">
        <v>2032</v>
      </c>
      <c r="C75" s="4">
        <v>2080</v>
      </c>
      <c r="D75" s="4">
        <v>2578</v>
      </c>
      <c r="E75" s="4">
        <v>3371</v>
      </c>
    </row>
    <row r="76" spans="1:5" x14ac:dyDescent="0.25">
      <c r="A76" t="s">
        <v>197</v>
      </c>
      <c r="B76">
        <v>2033</v>
      </c>
      <c r="C76" s="4">
        <v>2157</v>
      </c>
      <c r="D76" s="4">
        <v>2666</v>
      </c>
      <c r="E76" s="4">
        <v>3471</v>
      </c>
    </row>
    <row r="77" spans="1:5" x14ac:dyDescent="0.25">
      <c r="A77" t="s">
        <v>197</v>
      </c>
      <c r="B77">
        <v>2034</v>
      </c>
      <c r="C77" s="4">
        <v>2235</v>
      </c>
      <c r="D77" s="4">
        <v>2754</v>
      </c>
      <c r="E77" s="4">
        <v>3572</v>
      </c>
    </row>
    <row r="78" spans="1:5" x14ac:dyDescent="0.25">
      <c r="A78" t="s">
        <v>197</v>
      </c>
      <c r="B78">
        <v>2035</v>
      </c>
      <c r="C78" s="4">
        <v>2313</v>
      </c>
      <c r="D78" s="4">
        <v>2842</v>
      </c>
      <c r="E78" s="4">
        <v>3673</v>
      </c>
    </row>
    <row r="79" spans="1:5" x14ac:dyDescent="0.25">
      <c r="A79" t="s">
        <v>197</v>
      </c>
      <c r="B79">
        <v>2036</v>
      </c>
      <c r="C79" s="4">
        <v>2391</v>
      </c>
      <c r="D79" s="4">
        <v>2929</v>
      </c>
      <c r="E79" s="4">
        <v>3774</v>
      </c>
    </row>
    <row r="80" spans="1:5" x14ac:dyDescent="0.25">
      <c r="A80" t="s">
        <v>197</v>
      </c>
      <c r="B80">
        <v>2037</v>
      </c>
      <c r="C80" s="4">
        <v>2468</v>
      </c>
      <c r="D80" s="4">
        <v>3017</v>
      </c>
      <c r="E80" s="4">
        <v>3875</v>
      </c>
    </row>
    <row r="81" spans="1:5" x14ac:dyDescent="0.25">
      <c r="A81" t="s">
        <v>197</v>
      </c>
      <c r="B81">
        <v>2038</v>
      </c>
      <c r="C81" s="4">
        <v>2546</v>
      </c>
      <c r="D81" s="4">
        <v>3105</v>
      </c>
      <c r="E81" s="4">
        <v>3975</v>
      </c>
    </row>
    <row r="82" spans="1:5" x14ac:dyDescent="0.25">
      <c r="A82" t="s">
        <v>197</v>
      </c>
      <c r="B82">
        <v>2039</v>
      </c>
      <c r="C82" s="4">
        <v>2624</v>
      </c>
      <c r="D82" s="4">
        <v>3193</v>
      </c>
      <c r="E82" s="4">
        <v>4076</v>
      </c>
    </row>
    <row r="83" spans="1:5" x14ac:dyDescent="0.25">
      <c r="A83" t="s">
        <v>197</v>
      </c>
      <c r="B83">
        <v>2040</v>
      </c>
      <c r="C83" s="4">
        <v>2702</v>
      </c>
      <c r="D83" s="4">
        <v>3280</v>
      </c>
      <c r="E83" s="4">
        <v>4177</v>
      </c>
    </row>
    <row r="84" spans="1:5" x14ac:dyDescent="0.25">
      <c r="A84" t="s">
        <v>197</v>
      </c>
      <c r="B84">
        <v>2041</v>
      </c>
      <c r="C84" s="4">
        <v>2786</v>
      </c>
      <c r="D84" s="4">
        <v>3375</v>
      </c>
      <c r="E84" s="4">
        <v>4285</v>
      </c>
    </row>
    <row r="85" spans="1:5" x14ac:dyDescent="0.25">
      <c r="A85" t="s">
        <v>197</v>
      </c>
      <c r="B85">
        <v>2042</v>
      </c>
      <c r="C85" s="4">
        <v>2871</v>
      </c>
      <c r="D85" s="4">
        <v>3471</v>
      </c>
      <c r="E85" s="4">
        <v>4394</v>
      </c>
    </row>
    <row r="86" spans="1:5" x14ac:dyDescent="0.25">
      <c r="A86" t="s">
        <v>197</v>
      </c>
      <c r="B86">
        <v>2043</v>
      </c>
      <c r="C86" s="4">
        <v>2955</v>
      </c>
      <c r="D86" s="4">
        <v>3566</v>
      </c>
      <c r="E86" s="4">
        <v>4502</v>
      </c>
    </row>
    <row r="87" spans="1:5" x14ac:dyDescent="0.25">
      <c r="A87" t="s">
        <v>197</v>
      </c>
      <c r="B87">
        <v>2044</v>
      </c>
      <c r="C87" s="4">
        <v>3040</v>
      </c>
      <c r="D87" s="4">
        <v>3661</v>
      </c>
      <c r="E87" s="4">
        <v>4610</v>
      </c>
    </row>
    <row r="88" spans="1:5" x14ac:dyDescent="0.25">
      <c r="A88" t="s">
        <v>197</v>
      </c>
      <c r="B88">
        <v>2045</v>
      </c>
      <c r="C88" s="4">
        <v>3124</v>
      </c>
      <c r="D88" s="4">
        <v>3756</v>
      </c>
      <c r="E88" s="4">
        <v>4718</v>
      </c>
    </row>
    <row r="89" spans="1:5" x14ac:dyDescent="0.25">
      <c r="A89" t="s">
        <v>197</v>
      </c>
      <c r="B89">
        <v>2046</v>
      </c>
      <c r="C89" s="4">
        <v>3209</v>
      </c>
      <c r="D89" s="4">
        <v>3851</v>
      </c>
      <c r="E89" s="4">
        <v>4827</v>
      </c>
    </row>
    <row r="90" spans="1:5" x14ac:dyDescent="0.25">
      <c r="A90" t="s">
        <v>197</v>
      </c>
      <c r="B90">
        <v>2047</v>
      </c>
      <c r="C90" s="4">
        <v>3293</v>
      </c>
      <c r="D90" s="4">
        <v>3946</v>
      </c>
      <c r="E90" s="4">
        <v>4935</v>
      </c>
    </row>
    <row r="91" spans="1:5" x14ac:dyDescent="0.25">
      <c r="A91" t="s">
        <v>197</v>
      </c>
      <c r="B91">
        <v>2048</v>
      </c>
      <c r="C91" s="4">
        <v>3378</v>
      </c>
      <c r="D91" s="4">
        <v>4041</v>
      </c>
      <c r="E91" s="4">
        <v>5043</v>
      </c>
    </row>
    <row r="92" spans="1:5" x14ac:dyDescent="0.25">
      <c r="A92" t="s">
        <v>197</v>
      </c>
      <c r="B92">
        <v>2049</v>
      </c>
      <c r="C92" s="4">
        <v>3462</v>
      </c>
      <c r="D92" s="4">
        <v>4136</v>
      </c>
      <c r="E92" s="4">
        <v>5151</v>
      </c>
    </row>
    <row r="93" spans="1:5" x14ac:dyDescent="0.25">
      <c r="A93" t="s">
        <v>197</v>
      </c>
      <c r="B93">
        <v>2050</v>
      </c>
      <c r="C93" s="4">
        <v>3547</v>
      </c>
      <c r="D93" s="4">
        <v>4231</v>
      </c>
      <c r="E93" s="4">
        <v>5260</v>
      </c>
    </row>
    <row r="94" spans="1:5" x14ac:dyDescent="0.25">
      <c r="A94" t="s">
        <v>197</v>
      </c>
      <c r="B94">
        <v>2051</v>
      </c>
      <c r="C94" s="4">
        <v>3624</v>
      </c>
      <c r="D94" s="4">
        <v>4320</v>
      </c>
      <c r="E94" s="4">
        <v>5363</v>
      </c>
    </row>
    <row r="95" spans="1:5" x14ac:dyDescent="0.25">
      <c r="A95" t="s">
        <v>197</v>
      </c>
      <c r="B95">
        <v>2052</v>
      </c>
      <c r="C95" s="4">
        <v>3701</v>
      </c>
      <c r="D95" s="4">
        <v>4409</v>
      </c>
      <c r="E95" s="4">
        <v>5466</v>
      </c>
    </row>
    <row r="96" spans="1:5" x14ac:dyDescent="0.25">
      <c r="A96" t="s">
        <v>197</v>
      </c>
      <c r="B96">
        <v>2053</v>
      </c>
      <c r="C96" s="4">
        <v>3779</v>
      </c>
      <c r="D96" s="4">
        <v>4497</v>
      </c>
      <c r="E96" s="4">
        <v>5569</v>
      </c>
    </row>
    <row r="97" spans="1:5" x14ac:dyDescent="0.25">
      <c r="A97" t="s">
        <v>197</v>
      </c>
      <c r="B97">
        <v>2054</v>
      </c>
      <c r="C97" s="4">
        <v>3856</v>
      </c>
      <c r="D97" s="4">
        <v>4586</v>
      </c>
      <c r="E97" s="4">
        <v>5672</v>
      </c>
    </row>
    <row r="98" spans="1:5" x14ac:dyDescent="0.25">
      <c r="A98" t="s">
        <v>197</v>
      </c>
      <c r="B98">
        <v>2055</v>
      </c>
      <c r="C98" s="4">
        <v>3933</v>
      </c>
      <c r="D98" s="4">
        <v>4675</v>
      </c>
      <c r="E98" s="4">
        <v>5774</v>
      </c>
    </row>
    <row r="99" spans="1:5" x14ac:dyDescent="0.25">
      <c r="A99" t="s">
        <v>197</v>
      </c>
      <c r="B99">
        <v>2056</v>
      </c>
      <c r="C99" s="4">
        <v>4011</v>
      </c>
      <c r="D99" s="4">
        <v>4763</v>
      </c>
      <c r="E99" s="4">
        <v>5877</v>
      </c>
    </row>
    <row r="100" spans="1:5" x14ac:dyDescent="0.25">
      <c r="A100" t="s">
        <v>197</v>
      </c>
      <c r="B100">
        <v>2057</v>
      </c>
      <c r="C100" s="4">
        <v>4088</v>
      </c>
      <c r="D100" s="4">
        <v>4852</v>
      </c>
      <c r="E100" s="4">
        <v>5980</v>
      </c>
    </row>
    <row r="101" spans="1:5" x14ac:dyDescent="0.25">
      <c r="A101" t="s">
        <v>197</v>
      </c>
      <c r="B101">
        <v>2058</v>
      </c>
      <c r="C101" s="4">
        <v>4165</v>
      </c>
      <c r="D101" s="4">
        <v>4941</v>
      </c>
      <c r="E101" s="4">
        <v>6083</v>
      </c>
    </row>
    <row r="102" spans="1:5" x14ac:dyDescent="0.25">
      <c r="A102" t="s">
        <v>197</v>
      </c>
      <c r="B102">
        <v>2059</v>
      </c>
      <c r="C102" s="4">
        <v>4243</v>
      </c>
      <c r="D102" s="4">
        <v>5029</v>
      </c>
      <c r="E102" s="4">
        <v>6186</v>
      </c>
    </row>
    <row r="103" spans="1:5" x14ac:dyDescent="0.25">
      <c r="A103" t="s">
        <v>197</v>
      </c>
      <c r="B103">
        <v>2060</v>
      </c>
      <c r="C103" s="4">
        <v>4320</v>
      </c>
      <c r="D103" s="4">
        <v>5118</v>
      </c>
      <c r="E103" s="4">
        <v>6289</v>
      </c>
    </row>
    <row r="104" spans="1:5" x14ac:dyDescent="0.25">
      <c r="A104" t="s">
        <v>197</v>
      </c>
      <c r="B104">
        <v>2061</v>
      </c>
      <c r="C104" s="4">
        <v>4389</v>
      </c>
      <c r="D104" s="4">
        <v>5199</v>
      </c>
      <c r="E104" s="4">
        <v>6385</v>
      </c>
    </row>
    <row r="105" spans="1:5" x14ac:dyDescent="0.25">
      <c r="A105" t="s">
        <v>197</v>
      </c>
      <c r="B105">
        <v>2062</v>
      </c>
      <c r="C105" s="4">
        <v>4458</v>
      </c>
      <c r="D105" s="4">
        <v>5280</v>
      </c>
      <c r="E105" s="4">
        <v>6480</v>
      </c>
    </row>
    <row r="106" spans="1:5" x14ac:dyDescent="0.25">
      <c r="A106" t="s">
        <v>197</v>
      </c>
      <c r="B106">
        <v>2063</v>
      </c>
      <c r="C106" s="4">
        <v>4527</v>
      </c>
      <c r="D106" s="4">
        <v>5361</v>
      </c>
      <c r="E106" s="4">
        <v>6576</v>
      </c>
    </row>
    <row r="107" spans="1:5" x14ac:dyDescent="0.25">
      <c r="A107" t="s">
        <v>197</v>
      </c>
      <c r="B107">
        <v>2064</v>
      </c>
      <c r="C107" s="4">
        <v>4596</v>
      </c>
      <c r="D107" s="4">
        <v>5442</v>
      </c>
      <c r="E107" s="4">
        <v>6671</v>
      </c>
    </row>
    <row r="108" spans="1:5" x14ac:dyDescent="0.25">
      <c r="A108" t="s">
        <v>197</v>
      </c>
      <c r="B108">
        <v>2065</v>
      </c>
      <c r="C108" s="4">
        <v>4666</v>
      </c>
      <c r="D108" s="4">
        <v>5523</v>
      </c>
      <c r="E108" s="4">
        <v>6767</v>
      </c>
    </row>
    <row r="109" spans="1:5" x14ac:dyDescent="0.25">
      <c r="A109" t="s">
        <v>197</v>
      </c>
      <c r="B109">
        <v>2066</v>
      </c>
      <c r="C109" s="4">
        <v>4735</v>
      </c>
      <c r="D109" s="4">
        <v>5604</v>
      </c>
      <c r="E109" s="4">
        <v>6862</v>
      </c>
    </row>
    <row r="110" spans="1:5" x14ac:dyDescent="0.25">
      <c r="A110" t="s">
        <v>197</v>
      </c>
      <c r="B110">
        <v>2067</v>
      </c>
      <c r="C110" s="4">
        <v>4804</v>
      </c>
      <c r="D110" s="4">
        <v>5685</v>
      </c>
      <c r="E110" s="4">
        <v>6958</v>
      </c>
    </row>
    <row r="111" spans="1:5" x14ac:dyDescent="0.25">
      <c r="A111" t="s">
        <v>197</v>
      </c>
      <c r="B111">
        <v>2068</v>
      </c>
      <c r="C111" s="4">
        <v>4873</v>
      </c>
      <c r="D111" s="4">
        <v>5765</v>
      </c>
      <c r="E111" s="4">
        <v>7053</v>
      </c>
    </row>
    <row r="112" spans="1:5" x14ac:dyDescent="0.25">
      <c r="A112" t="s">
        <v>197</v>
      </c>
      <c r="B112">
        <v>2069</v>
      </c>
      <c r="C112" s="4">
        <v>4942</v>
      </c>
      <c r="D112" s="4">
        <v>5846</v>
      </c>
      <c r="E112" s="4">
        <v>7149</v>
      </c>
    </row>
    <row r="113" spans="1:5" x14ac:dyDescent="0.25">
      <c r="A113" t="s">
        <v>197</v>
      </c>
      <c r="B113">
        <v>2070</v>
      </c>
      <c r="C113" s="4">
        <v>5011</v>
      </c>
      <c r="D113" s="4">
        <v>5927</v>
      </c>
      <c r="E113" s="4">
        <v>7244</v>
      </c>
    </row>
    <row r="114" spans="1:5" x14ac:dyDescent="0.25">
      <c r="A114" t="s">
        <v>197</v>
      </c>
      <c r="B114">
        <v>2071</v>
      </c>
      <c r="C114" s="4">
        <v>5085</v>
      </c>
      <c r="D114" s="4">
        <v>6013</v>
      </c>
      <c r="E114" s="4">
        <v>7344</v>
      </c>
    </row>
    <row r="115" spans="1:5" x14ac:dyDescent="0.25">
      <c r="A115" t="s">
        <v>197</v>
      </c>
      <c r="B115">
        <v>2072</v>
      </c>
      <c r="C115" s="4">
        <v>5160</v>
      </c>
      <c r="D115" s="4">
        <v>6099</v>
      </c>
      <c r="E115" s="4">
        <v>7444</v>
      </c>
    </row>
    <row r="116" spans="1:5" x14ac:dyDescent="0.25">
      <c r="A116" t="s">
        <v>197</v>
      </c>
      <c r="B116">
        <v>2073</v>
      </c>
      <c r="C116" s="4">
        <v>5234</v>
      </c>
      <c r="D116" s="4">
        <v>6184</v>
      </c>
      <c r="E116" s="4">
        <v>7545</v>
      </c>
    </row>
    <row r="117" spans="1:5" x14ac:dyDescent="0.25">
      <c r="A117" t="s">
        <v>197</v>
      </c>
      <c r="B117">
        <v>2074</v>
      </c>
      <c r="C117" s="4">
        <v>5309</v>
      </c>
      <c r="D117" s="4">
        <v>6270</v>
      </c>
      <c r="E117" s="4">
        <v>7645</v>
      </c>
    </row>
    <row r="118" spans="1:5" x14ac:dyDescent="0.25">
      <c r="A118" t="s">
        <v>197</v>
      </c>
      <c r="B118">
        <v>2075</v>
      </c>
      <c r="C118" s="4">
        <v>5383</v>
      </c>
      <c r="D118" s="4">
        <v>6355</v>
      </c>
      <c r="E118" s="4">
        <v>7745</v>
      </c>
    </row>
    <row r="119" spans="1:5" x14ac:dyDescent="0.25">
      <c r="A119" t="s">
        <v>197</v>
      </c>
      <c r="B119">
        <v>2076</v>
      </c>
      <c r="C119" s="4">
        <v>5458</v>
      </c>
      <c r="D119" s="4">
        <v>6441</v>
      </c>
      <c r="E119" s="4">
        <v>7845</v>
      </c>
    </row>
    <row r="120" spans="1:5" x14ac:dyDescent="0.25">
      <c r="A120" t="s">
        <v>197</v>
      </c>
      <c r="B120">
        <v>2077</v>
      </c>
      <c r="C120" s="4">
        <v>5532</v>
      </c>
      <c r="D120" s="4">
        <v>6527</v>
      </c>
      <c r="E120" s="4">
        <v>7946</v>
      </c>
    </row>
    <row r="121" spans="1:5" x14ac:dyDescent="0.25">
      <c r="A121" t="s">
        <v>197</v>
      </c>
      <c r="B121">
        <v>2078</v>
      </c>
      <c r="C121" s="4">
        <v>5607</v>
      </c>
      <c r="D121" s="4">
        <v>6612</v>
      </c>
      <c r="E121" s="4">
        <v>8046</v>
      </c>
    </row>
    <row r="122" spans="1:5" x14ac:dyDescent="0.25">
      <c r="A122" t="s">
        <v>197</v>
      </c>
      <c r="B122">
        <v>2079</v>
      </c>
      <c r="C122" s="4">
        <v>5681</v>
      </c>
      <c r="D122" s="4">
        <v>6698</v>
      </c>
      <c r="E122" s="4">
        <v>8146</v>
      </c>
    </row>
    <row r="123" spans="1:5" x14ac:dyDescent="0.25">
      <c r="A123" t="s">
        <v>197</v>
      </c>
      <c r="B123">
        <v>2080</v>
      </c>
      <c r="C123" s="4">
        <v>5756</v>
      </c>
      <c r="D123" s="4">
        <v>6783</v>
      </c>
      <c r="E123" s="4">
        <v>8246</v>
      </c>
    </row>
    <row r="124" spans="1:5" x14ac:dyDescent="0.25">
      <c r="A124" t="s">
        <v>198</v>
      </c>
      <c r="B124">
        <v>2020</v>
      </c>
      <c r="C124" s="4">
        <v>35232</v>
      </c>
      <c r="D124" s="4">
        <v>54139</v>
      </c>
      <c r="E124" s="4">
        <v>87284</v>
      </c>
    </row>
    <row r="125" spans="1:5" x14ac:dyDescent="0.25">
      <c r="A125" t="s">
        <v>198</v>
      </c>
      <c r="B125">
        <v>2021</v>
      </c>
      <c r="C125" s="4">
        <v>36180</v>
      </c>
      <c r="D125" s="4">
        <v>55364</v>
      </c>
      <c r="E125" s="4">
        <v>88869</v>
      </c>
    </row>
    <row r="126" spans="1:5" x14ac:dyDescent="0.25">
      <c r="A126" t="s">
        <v>198</v>
      </c>
      <c r="B126">
        <v>2022</v>
      </c>
      <c r="C126" s="4">
        <v>37128</v>
      </c>
      <c r="D126" s="4">
        <v>56590</v>
      </c>
      <c r="E126" s="4">
        <v>90454</v>
      </c>
    </row>
    <row r="127" spans="1:5" x14ac:dyDescent="0.25">
      <c r="A127" t="s">
        <v>198</v>
      </c>
      <c r="B127">
        <v>2023</v>
      </c>
      <c r="C127" s="4">
        <v>38076</v>
      </c>
      <c r="D127" s="4">
        <v>57816</v>
      </c>
      <c r="E127" s="4">
        <v>92040</v>
      </c>
    </row>
    <row r="128" spans="1:5" x14ac:dyDescent="0.25">
      <c r="A128" t="s">
        <v>198</v>
      </c>
      <c r="B128">
        <v>2024</v>
      </c>
      <c r="C128" s="4">
        <v>39024</v>
      </c>
      <c r="D128" s="4">
        <v>59041</v>
      </c>
      <c r="E128" s="4">
        <v>93625</v>
      </c>
    </row>
    <row r="129" spans="1:5" x14ac:dyDescent="0.25">
      <c r="A129" t="s">
        <v>198</v>
      </c>
      <c r="B129">
        <v>2025</v>
      </c>
      <c r="C129" s="4">
        <v>39972</v>
      </c>
      <c r="D129" s="4">
        <v>60267</v>
      </c>
      <c r="E129" s="4">
        <v>95210</v>
      </c>
    </row>
    <row r="130" spans="1:5" x14ac:dyDescent="0.25">
      <c r="A130" t="s">
        <v>198</v>
      </c>
      <c r="B130">
        <v>2026</v>
      </c>
      <c r="C130" s="4">
        <v>40920</v>
      </c>
      <c r="D130" s="4">
        <v>61492</v>
      </c>
      <c r="E130" s="4">
        <v>96796</v>
      </c>
    </row>
    <row r="131" spans="1:5" x14ac:dyDescent="0.25">
      <c r="A131" t="s">
        <v>198</v>
      </c>
      <c r="B131">
        <v>2027</v>
      </c>
      <c r="C131" s="4">
        <v>41868</v>
      </c>
      <c r="D131" s="4">
        <v>62718</v>
      </c>
      <c r="E131" s="4">
        <v>98381</v>
      </c>
    </row>
    <row r="132" spans="1:5" x14ac:dyDescent="0.25">
      <c r="A132" t="s">
        <v>198</v>
      </c>
      <c r="B132">
        <v>2028</v>
      </c>
      <c r="C132" s="4">
        <v>42816</v>
      </c>
      <c r="D132" s="4">
        <v>63944</v>
      </c>
      <c r="E132" s="4">
        <v>99966</v>
      </c>
    </row>
    <row r="133" spans="1:5" x14ac:dyDescent="0.25">
      <c r="A133" t="s">
        <v>198</v>
      </c>
      <c r="B133">
        <v>2029</v>
      </c>
      <c r="C133" s="4">
        <v>43764</v>
      </c>
      <c r="D133" s="4">
        <v>65169</v>
      </c>
      <c r="E133" s="4">
        <v>101552</v>
      </c>
    </row>
    <row r="134" spans="1:5" x14ac:dyDescent="0.25">
      <c r="A134" t="s">
        <v>198</v>
      </c>
      <c r="B134">
        <v>2030</v>
      </c>
      <c r="C134" s="4">
        <v>44712</v>
      </c>
      <c r="D134" s="4">
        <v>66395</v>
      </c>
      <c r="E134" s="4">
        <v>103137</v>
      </c>
    </row>
    <row r="135" spans="1:5" x14ac:dyDescent="0.25">
      <c r="A135" t="s">
        <v>198</v>
      </c>
      <c r="B135">
        <v>2031</v>
      </c>
      <c r="C135" s="4">
        <v>45693</v>
      </c>
      <c r="D135" s="4">
        <v>67645</v>
      </c>
      <c r="E135" s="4">
        <v>104727</v>
      </c>
    </row>
    <row r="136" spans="1:5" x14ac:dyDescent="0.25">
      <c r="A136" t="s">
        <v>198</v>
      </c>
      <c r="B136">
        <v>2032</v>
      </c>
      <c r="C136" s="4">
        <v>46674</v>
      </c>
      <c r="D136" s="4">
        <v>68895</v>
      </c>
      <c r="E136" s="4">
        <v>106316</v>
      </c>
    </row>
    <row r="137" spans="1:5" x14ac:dyDescent="0.25">
      <c r="A137" t="s">
        <v>198</v>
      </c>
      <c r="B137">
        <v>2033</v>
      </c>
      <c r="C137" s="4">
        <v>47655</v>
      </c>
      <c r="D137" s="4">
        <v>70145</v>
      </c>
      <c r="E137" s="4">
        <v>107906</v>
      </c>
    </row>
    <row r="138" spans="1:5" x14ac:dyDescent="0.25">
      <c r="A138" t="s">
        <v>198</v>
      </c>
      <c r="B138">
        <v>2034</v>
      </c>
      <c r="C138" s="4">
        <v>48636</v>
      </c>
      <c r="D138" s="4">
        <v>71394</v>
      </c>
      <c r="E138" s="4">
        <v>109495</v>
      </c>
    </row>
    <row r="139" spans="1:5" x14ac:dyDescent="0.25">
      <c r="A139" t="s">
        <v>198</v>
      </c>
      <c r="B139">
        <v>2035</v>
      </c>
      <c r="C139" s="4">
        <v>49617</v>
      </c>
      <c r="D139" s="4">
        <v>72644</v>
      </c>
      <c r="E139" s="4">
        <v>111085</v>
      </c>
    </row>
    <row r="140" spans="1:5" x14ac:dyDescent="0.25">
      <c r="A140" t="s">
        <v>198</v>
      </c>
      <c r="B140">
        <v>2036</v>
      </c>
      <c r="C140" s="4">
        <v>50598</v>
      </c>
      <c r="D140" s="4">
        <v>73894</v>
      </c>
      <c r="E140" s="4">
        <v>112674</v>
      </c>
    </row>
    <row r="141" spans="1:5" x14ac:dyDescent="0.25">
      <c r="A141" t="s">
        <v>198</v>
      </c>
      <c r="B141">
        <v>2037</v>
      </c>
      <c r="C141" s="4">
        <v>51578</v>
      </c>
      <c r="D141" s="4">
        <v>75144</v>
      </c>
      <c r="E141" s="4">
        <v>114264</v>
      </c>
    </row>
    <row r="142" spans="1:5" x14ac:dyDescent="0.25">
      <c r="A142" t="s">
        <v>198</v>
      </c>
      <c r="B142">
        <v>2038</v>
      </c>
      <c r="C142" s="4">
        <v>52559</v>
      </c>
      <c r="D142" s="4">
        <v>76394</v>
      </c>
      <c r="E142" s="4">
        <v>115853</v>
      </c>
    </row>
    <row r="143" spans="1:5" x14ac:dyDescent="0.25">
      <c r="A143" t="s">
        <v>198</v>
      </c>
      <c r="B143">
        <v>2039</v>
      </c>
      <c r="C143" s="4">
        <v>53540</v>
      </c>
      <c r="D143" s="4">
        <v>77644</v>
      </c>
      <c r="E143" s="4">
        <v>117443</v>
      </c>
    </row>
    <row r="144" spans="1:5" x14ac:dyDescent="0.25">
      <c r="A144" t="s">
        <v>198</v>
      </c>
      <c r="B144">
        <v>2040</v>
      </c>
      <c r="C144" s="4">
        <v>54521</v>
      </c>
      <c r="D144" s="4">
        <v>78894</v>
      </c>
      <c r="E144" s="4">
        <v>119032</v>
      </c>
    </row>
    <row r="145" spans="1:5" x14ac:dyDescent="0.25">
      <c r="A145" t="s">
        <v>198</v>
      </c>
      <c r="B145">
        <v>2041</v>
      </c>
      <c r="C145" s="4">
        <v>55632</v>
      </c>
      <c r="D145" s="4">
        <v>80304</v>
      </c>
      <c r="E145" s="4">
        <v>120809</v>
      </c>
    </row>
    <row r="146" spans="1:5" x14ac:dyDescent="0.25">
      <c r="A146" t="s">
        <v>198</v>
      </c>
      <c r="B146">
        <v>2042</v>
      </c>
      <c r="C146" s="4">
        <v>56744</v>
      </c>
      <c r="D146" s="4">
        <v>81714</v>
      </c>
      <c r="E146" s="4">
        <v>122586</v>
      </c>
    </row>
    <row r="147" spans="1:5" x14ac:dyDescent="0.25">
      <c r="A147" t="s">
        <v>198</v>
      </c>
      <c r="B147">
        <v>2043</v>
      </c>
      <c r="C147" s="4">
        <v>57855</v>
      </c>
      <c r="D147" s="4">
        <v>83124</v>
      </c>
      <c r="E147" s="4">
        <v>124362</v>
      </c>
    </row>
    <row r="148" spans="1:5" x14ac:dyDescent="0.25">
      <c r="A148" t="s">
        <v>198</v>
      </c>
      <c r="B148">
        <v>2044</v>
      </c>
      <c r="C148" s="4">
        <v>58966</v>
      </c>
      <c r="D148" s="4">
        <v>84535</v>
      </c>
      <c r="E148" s="4">
        <v>126139</v>
      </c>
    </row>
    <row r="149" spans="1:5" x14ac:dyDescent="0.25">
      <c r="A149" t="s">
        <v>198</v>
      </c>
      <c r="B149">
        <v>2045</v>
      </c>
      <c r="C149" s="4">
        <v>60078</v>
      </c>
      <c r="D149" s="4">
        <v>85945</v>
      </c>
      <c r="E149" s="4">
        <v>127916</v>
      </c>
    </row>
    <row r="150" spans="1:5" x14ac:dyDescent="0.25">
      <c r="A150" t="s">
        <v>198</v>
      </c>
      <c r="B150">
        <v>2046</v>
      </c>
      <c r="C150" s="4">
        <v>61189</v>
      </c>
      <c r="D150" s="4">
        <v>87355</v>
      </c>
      <c r="E150" s="4">
        <v>129693</v>
      </c>
    </row>
    <row r="151" spans="1:5" x14ac:dyDescent="0.25">
      <c r="A151" t="s">
        <v>198</v>
      </c>
      <c r="B151">
        <v>2047</v>
      </c>
      <c r="C151" s="4">
        <v>62301</v>
      </c>
      <c r="D151" s="4">
        <v>88765</v>
      </c>
      <c r="E151" s="4">
        <v>131469</v>
      </c>
    </row>
    <row r="152" spans="1:5" x14ac:dyDescent="0.25">
      <c r="A152" t="s">
        <v>198</v>
      </c>
      <c r="B152">
        <v>2048</v>
      </c>
      <c r="C152" s="4">
        <v>63412</v>
      </c>
      <c r="D152" s="4">
        <v>90176</v>
      </c>
      <c r="E152" s="4">
        <v>133246</v>
      </c>
    </row>
    <row r="153" spans="1:5" x14ac:dyDescent="0.25">
      <c r="A153" t="s">
        <v>198</v>
      </c>
      <c r="B153">
        <v>2049</v>
      </c>
      <c r="C153" s="4">
        <v>64523</v>
      </c>
      <c r="D153" s="4">
        <v>91586</v>
      </c>
      <c r="E153" s="4">
        <v>135023</v>
      </c>
    </row>
    <row r="154" spans="1:5" x14ac:dyDescent="0.25">
      <c r="A154" t="s">
        <v>198</v>
      </c>
      <c r="B154">
        <v>2050</v>
      </c>
      <c r="C154" s="4">
        <v>65635</v>
      </c>
      <c r="D154" s="4">
        <v>92996</v>
      </c>
      <c r="E154" s="4">
        <v>136799</v>
      </c>
    </row>
    <row r="155" spans="1:5" x14ac:dyDescent="0.25">
      <c r="A155" t="s">
        <v>198</v>
      </c>
      <c r="B155">
        <v>2051</v>
      </c>
      <c r="C155" s="4">
        <v>66673</v>
      </c>
      <c r="D155" s="4">
        <v>94319</v>
      </c>
      <c r="E155" s="4">
        <v>138479</v>
      </c>
    </row>
    <row r="156" spans="1:5" x14ac:dyDescent="0.25">
      <c r="A156" t="s">
        <v>198</v>
      </c>
      <c r="B156">
        <v>2052</v>
      </c>
      <c r="C156" s="4">
        <v>67712</v>
      </c>
      <c r="D156" s="4">
        <v>95642</v>
      </c>
      <c r="E156" s="4">
        <v>140158</v>
      </c>
    </row>
    <row r="157" spans="1:5" x14ac:dyDescent="0.25">
      <c r="A157" t="s">
        <v>198</v>
      </c>
      <c r="B157">
        <v>2053</v>
      </c>
      <c r="C157" s="4">
        <v>68750</v>
      </c>
      <c r="D157" s="4">
        <v>96965</v>
      </c>
      <c r="E157" s="4">
        <v>141838</v>
      </c>
    </row>
    <row r="158" spans="1:5" x14ac:dyDescent="0.25">
      <c r="A158" t="s">
        <v>198</v>
      </c>
      <c r="B158">
        <v>2054</v>
      </c>
      <c r="C158" s="4">
        <v>69789</v>
      </c>
      <c r="D158" s="4">
        <v>98288</v>
      </c>
      <c r="E158" s="4">
        <v>143517</v>
      </c>
    </row>
    <row r="159" spans="1:5" x14ac:dyDescent="0.25">
      <c r="A159" t="s">
        <v>198</v>
      </c>
      <c r="B159">
        <v>2055</v>
      </c>
      <c r="C159" s="4">
        <v>70827</v>
      </c>
      <c r="D159" s="4">
        <v>99612</v>
      </c>
      <c r="E159" s="4">
        <v>145196</v>
      </c>
    </row>
    <row r="160" spans="1:5" x14ac:dyDescent="0.25">
      <c r="A160" t="s">
        <v>198</v>
      </c>
      <c r="B160">
        <v>2056</v>
      </c>
      <c r="C160" s="4">
        <v>71866</v>
      </c>
      <c r="D160" s="4">
        <v>100935</v>
      </c>
      <c r="E160" s="4">
        <v>146876</v>
      </c>
    </row>
    <row r="161" spans="1:5" x14ac:dyDescent="0.25">
      <c r="A161" t="s">
        <v>198</v>
      </c>
      <c r="B161">
        <v>2057</v>
      </c>
      <c r="C161" s="4">
        <v>72904</v>
      </c>
      <c r="D161" s="4">
        <v>102258</v>
      </c>
      <c r="E161" s="4">
        <v>148555</v>
      </c>
    </row>
    <row r="162" spans="1:5" x14ac:dyDescent="0.25">
      <c r="A162" t="s">
        <v>198</v>
      </c>
      <c r="B162">
        <v>2058</v>
      </c>
      <c r="C162" s="4">
        <v>73943</v>
      </c>
      <c r="D162" s="4">
        <v>103581</v>
      </c>
      <c r="E162" s="4">
        <v>150235</v>
      </c>
    </row>
    <row r="163" spans="1:5" x14ac:dyDescent="0.25">
      <c r="A163" t="s">
        <v>198</v>
      </c>
      <c r="B163">
        <v>2059</v>
      </c>
      <c r="C163" s="4">
        <v>74981</v>
      </c>
      <c r="D163" s="4">
        <v>104904</v>
      </c>
      <c r="E163" s="4">
        <v>151914</v>
      </c>
    </row>
    <row r="164" spans="1:5" x14ac:dyDescent="0.25">
      <c r="A164" t="s">
        <v>198</v>
      </c>
      <c r="B164">
        <v>2060</v>
      </c>
      <c r="C164" s="4">
        <v>76020</v>
      </c>
      <c r="D164" s="4">
        <v>106227</v>
      </c>
      <c r="E164" s="4">
        <v>153594</v>
      </c>
    </row>
    <row r="165" spans="1:5" x14ac:dyDescent="0.25">
      <c r="A165" t="s">
        <v>198</v>
      </c>
      <c r="B165">
        <v>2061</v>
      </c>
      <c r="C165" s="4">
        <v>76920</v>
      </c>
      <c r="D165" s="4">
        <v>107385</v>
      </c>
      <c r="E165" s="4">
        <v>155085</v>
      </c>
    </row>
    <row r="166" spans="1:5" x14ac:dyDescent="0.25">
      <c r="A166" t="s">
        <v>198</v>
      </c>
      <c r="B166">
        <v>2062</v>
      </c>
      <c r="C166" s="4">
        <v>77820</v>
      </c>
      <c r="D166" s="4">
        <v>108542</v>
      </c>
      <c r="E166" s="4">
        <v>156576</v>
      </c>
    </row>
    <row r="167" spans="1:5" x14ac:dyDescent="0.25">
      <c r="A167" t="s">
        <v>198</v>
      </c>
      <c r="B167">
        <v>2063</v>
      </c>
      <c r="C167" s="4">
        <v>78720</v>
      </c>
      <c r="D167" s="4">
        <v>109700</v>
      </c>
      <c r="E167" s="4">
        <v>158066</v>
      </c>
    </row>
    <row r="168" spans="1:5" x14ac:dyDescent="0.25">
      <c r="A168" t="s">
        <v>198</v>
      </c>
      <c r="B168">
        <v>2064</v>
      </c>
      <c r="C168" s="4">
        <v>79620</v>
      </c>
      <c r="D168" s="4">
        <v>110857</v>
      </c>
      <c r="E168" s="4">
        <v>159557</v>
      </c>
    </row>
    <row r="169" spans="1:5" x14ac:dyDescent="0.25">
      <c r="A169" t="s">
        <v>198</v>
      </c>
      <c r="B169">
        <v>2065</v>
      </c>
      <c r="C169" s="4">
        <v>80520</v>
      </c>
      <c r="D169" s="4">
        <v>112015</v>
      </c>
      <c r="E169" s="4">
        <v>161048</v>
      </c>
    </row>
    <row r="170" spans="1:5" x14ac:dyDescent="0.25">
      <c r="A170" t="s">
        <v>198</v>
      </c>
      <c r="B170">
        <v>2066</v>
      </c>
      <c r="C170" s="4">
        <v>81419</v>
      </c>
      <c r="D170" s="4">
        <v>113172</v>
      </c>
      <c r="E170" s="4">
        <v>162539</v>
      </c>
    </row>
    <row r="171" spans="1:5" x14ac:dyDescent="0.25">
      <c r="A171" t="s">
        <v>198</v>
      </c>
      <c r="B171">
        <v>2067</v>
      </c>
      <c r="C171" s="4">
        <v>82319</v>
      </c>
      <c r="D171" s="4">
        <v>114330</v>
      </c>
      <c r="E171" s="4">
        <v>164030</v>
      </c>
    </row>
    <row r="172" spans="1:5" x14ac:dyDescent="0.25">
      <c r="A172" t="s">
        <v>198</v>
      </c>
      <c r="B172">
        <v>2068</v>
      </c>
      <c r="C172" s="4">
        <v>83219</v>
      </c>
      <c r="D172" s="4">
        <v>115487</v>
      </c>
      <c r="E172" s="4">
        <v>165521</v>
      </c>
    </row>
    <row r="173" spans="1:5" x14ac:dyDescent="0.25">
      <c r="A173" t="s">
        <v>198</v>
      </c>
      <c r="B173">
        <v>2069</v>
      </c>
      <c r="C173" s="4">
        <v>84119</v>
      </c>
      <c r="D173" s="4">
        <v>116645</v>
      </c>
      <c r="E173" s="4">
        <v>167012</v>
      </c>
    </row>
    <row r="174" spans="1:5" x14ac:dyDescent="0.25">
      <c r="A174" t="s">
        <v>198</v>
      </c>
      <c r="B174">
        <v>2070</v>
      </c>
      <c r="C174" s="4">
        <v>85019</v>
      </c>
      <c r="D174" s="4">
        <v>117802</v>
      </c>
      <c r="E174" s="4">
        <v>168503</v>
      </c>
    </row>
    <row r="175" spans="1:5" x14ac:dyDescent="0.25">
      <c r="A175" t="s">
        <v>198</v>
      </c>
      <c r="B175">
        <v>2071</v>
      </c>
      <c r="C175" s="4">
        <v>86012</v>
      </c>
      <c r="D175" s="4">
        <v>119027</v>
      </c>
      <c r="E175" s="4">
        <v>170013</v>
      </c>
    </row>
    <row r="176" spans="1:5" x14ac:dyDescent="0.25">
      <c r="A176" t="s">
        <v>198</v>
      </c>
      <c r="B176">
        <v>2072</v>
      </c>
      <c r="C176" s="4">
        <v>87006</v>
      </c>
      <c r="D176" s="4">
        <v>120252</v>
      </c>
      <c r="E176" s="4">
        <v>171523</v>
      </c>
    </row>
    <row r="177" spans="1:5" x14ac:dyDescent="0.25">
      <c r="A177" t="s">
        <v>198</v>
      </c>
      <c r="B177">
        <v>2073</v>
      </c>
      <c r="C177" s="4">
        <v>87999</v>
      </c>
      <c r="D177" s="4">
        <v>121477</v>
      </c>
      <c r="E177" s="4">
        <v>173033</v>
      </c>
    </row>
    <row r="178" spans="1:5" x14ac:dyDescent="0.25">
      <c r="A178" t="s">
        <v>198</v>
      </c>
      <c r="B178">
        <v>2074</v>
      </c>
      <c r="C178" s="4">
        <v>88992</v>
      </c>
      <c r="D178" s="4">
        <v>122702</v>
      </c>
      <c r="E178" s="4">
        <v>174543</v>
      </c>
    </row>
    <row r="179" spans="1:5" x14ac:dyDescent="0.25">
      <c r="A179" t="s">
        <v>198</v>
      </c>
      <c r="B179">
        <v>2075</v>
      </c>
      <c r="C179" s="4">
        <v>89985</v>
      </c>
      <c r="D179" s="4">
        <v>123926</v>
      </c>
      <c r="E179" s="4">
        <v>176053</v>
      </c>
    </row>
    <row r="180" spans="1:5" x14ac:dyDescent="0.25">
      <c r="A180" t="s">
        <v>198</v>
      </c>
      <c r="B180">
        <v>2076</v>
      </c>
      <c r="C180" s="4">
        <v>90978</v>
      </c>
      <c r="D180" s="4">
        <v>125151</v>
      </c>
      <c r="E180" s="4">
        <v>177563</v>
      </c>
    </row>
    <row r="181" spans="1:5" x14ac:dyDescent="0.25">
      <c r="A181" t="s">
        <v>198</v>
      </c>
      <c r="B181">
        <v>2077</v>
      </c>
      <c r="C181" s="4">
        <v>91971</v>
      </c>
      <c r="D181" s="4">
        <v>126376</v>
      </c>
      <c r="E181" s="4">
        <v>179073</v>
      </c>
    </row>
    <row r="182" spans="1:5" x14ac:dyDescent="0.25">
      <c r="A182" t="s">
        <v>198</v>
      </c>
      <c r="B182">
        <v>2078</v>
      </c>
      <c r="C182" s="4">
        <v>92964</v>
      </c>
      <c r="D182" s="4">
        <v>127601</v>
      </c>
      <c r="E182" s="4">
        <v>180582</v>
      </c>
    </row>
    <row r="183" spans="1:5" x14ac:dyDescent="0.25">
      <c r="A183" t="s">
        <v>198</v>
      </c>
      <c r="B183">
        <v>2079</v>
      </c>
      <c r="C183" s="4">
        <v>93958</v>
      </c>
      <c r="D183" s="4">
        <v>128826</v>
      </c>
      <c r="E183" s="4">
        <v>182092</v>
      </c>
    </row>
    <row r="184" spans="1:5" x14ac:dyDescent="0.25">
      <c r="A184" t="s">
        <v>198</v>
      </c>
      <c r="B184">
        <v>2080</v>
      </c>
      <c r="C184" s="4">
        <v>94951</v>
      </c>
      <c r="D184" s="4">
        <v>130050</v>
      </c>
      <c r="E184" s="4">
        <v>183602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7391B-F9D1-4FA3-B95E-4F95F46E1D6D}">
  <dimension ref="A1:E62"/>
  <sheetViews>
    <sheetView workbookViewId="0">
      <selection activeCell="E16" sqref="E16"/>
    </sheetView>
  </sheetViews>
  <sheetFormatPr defaultRowHeight="15" x14ac:dyDescent="0.25"/>
  <cols>
    <col min="2" max="2" width="14" customWidth="1"/>
    <col min="3" max="3" width="22.7109375" customWidth="1"/>
    <col min="4" max="4" width="21.7109375" customWidth="1"/>
    <col min="5" max="5" width="25.42578125" customWidth="1"/>
  </cols>
  <sheetData>
    <row r="1" spans="1:5" x14ac:dyDescent="0.25">
      <c r="A1" s="6" t="s">
        <v>199</v>
      </c>
      <c r="B1" s="1" t="s">
        <v>45</v>
      </c>
      <c r="C1" s="1" t="s">
        <v>46</v>
      </c>
      <c r="D1" s="1" t="s">
        <v>47</v>
      </c>
      <c r="E1" s="1" t="s">
        <v>48</v>
      </c>
    </row>
    <row r="2" spans="1:5" x14ac:dyDescent="0.25">
      <c r="A2">
        <v>2020</v>
      </c>
      <c r="B2">
        <v>90</v>
      </c>
      <c r="C2">
        <v>4</v>
      </c>
      <c r="D2">
        <v>0.01</v>
      </c>
      <c r="E2">
        <v>5.99</v>
      </c>
    </row>
    <row r="3" spans="1:5" x14ac:dyDescent="0.25">
      <c r="A3">
        <v>2021</v>
      </c>
      <c r="B3">
        <v>90</v>
      </c>
      <c r="C3">
        <v>4</v>
      </c>
      <c r="D3">
        <v>0.01</v>
      </c>
      <c r="E3">
        <v>5.99</v>
      </c>
    </row>
    <row r="4" spans="1:5" x14ac:dyDescent="0.25">
      <c r="A4">
        <v>2022</v>
      </c>
      <c r="B4">
        <v>90</v>
      </c>
      <c r="C4">
        <v>4</v>
      </c>
      <c r="D4">
        <v>0.01</v>
      </c>
      <c r="E4">
        <v>5.99</v>
      </c>
    </row>
    <row r="5" spans="1:5" x14ac:dyDescent="0.25">
      <c r="A5">
        <v>2023</v>
      </c>
      <c r="B5">
        <v>90</v>
      </c>
      <c r="C5">
        <v>4</v>
      </c>
      <c r="D5">
        <v>0.01</v>
      </c>
      <c r="E5">
        <v>5.99</v>
      </c>
    </row>
    <row r="6" spans="1:5" x14ac:dyDescent="0.25">
      <c r="A6">
        <v>2024</v>
      </c>
      <c r="B6">
        <v>90</v>
      </c>
      <c r="C6">
        <v>4</v>
      </c>
      <c r="D6">
        <v>0.01</v>
      </c>
      <c r="E6">
        <v>5.99</v>
      </c>
    </row>
    <row r="7" spans="1:5" x14ac:dyDescent="0.25">
      <c r="A7">
        <v>2025</v>
      </c>
      <c r="B7">
        <v>90</v>
      </c>
      <c r="C7">
        <v>4</v>
      </c>
      <c r="D7">
        <v>0.01</v>
      </c>
      <c r="E7">
        <v>5.99</v>
      </c>
    </row>
    <row r="8" spans="1:5" x14ac:dyDescent="0.25">
      <c r="A8">
        <v>2026</v>
      </c>
      <c r="B8">
        <v>90</v>
      </c>
      <c r="C8">
        <v>4</v>
      </c>
      <c r="D8">
        <v>0.01</v>
      </c>
      <c r="E8">
        <v>5.99</v>
      </c>
    </row>
    <row r="9" spans="1:5" x14ac:dyDescent="0.25">
      <c r="A9">
        <v>2027</v>
      </c>
      <c r="B9">
        <v>90</v>
      </c>
      <c r="C9">
        <v>4</v>
      </c>
      <c r="D9">
        <v>0.01</v>
      </c>
      <c r="E9">
        <v>5.99</v>
      </c>
    </row>
    <row r="10" spans="1:5" x14ac:dyDescent="0.25">
      <c r="A10">
        <v>2028</v>
      </c>
      <c r="B10">
        <v>90</v>
      </c>
      <c r="C10">
        <v>4</v>
      </c>
      <c r="D10">
        <v>0.01</v>
      </c>
      <c r="E10">
        <v>5.99</v>
      </c>
    </row>
    <row r="11" spans="1:5" x14ac:dyDescent="0.25">
      <c r="A11">
        <v>2029</v>
      </c>
      <c r="B11">
        <v>90</v>
      </c>
      <c r="C11">
        <v>4</v>
      </c>
      <c r="D11">
        <v>0.01</v>
      </c>
      <c r="E11">
        <v>5.99</v>
      </c>
    </row>
    <row r="12" spans="1:5" x14ac:dyDescent="0.25">
      <c r="A12">
        <v>2030</v>
      </c>
      <c r="B12">
        <v>90</v>
      </c>
      <c r="C12">
        <v>4</v>
      </c>
      <c r="D12">
        <v>0.01</v>
      </c>
      <c r="E12">
        <v>5.99</v>
      </c>
    </row>
    <row r="13" spans="1:5" x14ac:dyDescent="0.25">
      <c r="A13">
        <v>2031</v>
      </c>
      <c r="B13">
        <v>90</v>
      </c>
      <c r="C13">
        <v>4</v>
      </c>
      <c r="D13">
        <v>0.01</v>
      </c>
      <c r="E13">
        <v>5.99</v>
      </c>
    </row>
    <row r="14" spans="1:5" x14ac:dyDescent="0.25">
      <c r="A14">
        <v>2032</v>
      </c>
      <c r="B14">
        <v>90</v>
      </c>
      <c r="C14">
        <v>4</v>
      </c>
      <c r="D14">
        <v>0.01</v>
      </c>
      <c r="E14">
        <v>5.99</v>
      </c>
    </row>
    <row r="15" spans="1:5" x14ac:dyDescent="0.25">
      <c r="A15">
        <v>2033</v>
      </c>
      <c r="B15">
        <v>90</v>
      </c>
      <c r="C15">
        <v>4</v>
      </c>
      <c r="D15">
        <v>0.01</v>
      </c>
      <c r="E15">
        <v>5.99</v>
      </c>
    </row>
    <row r="16" spans="1:5" x14ac:dyDescent="0.25">
      <c r="A16">
        <v>2034</v>
      </c>
      <c r="B16">
        <v>90</v>
      </c>
      <c r="C16">
        <v>4</v>
      </c>
      <c r="D16">
        <v>0.01</v>
      </c>
      <c r="E16">
        <v>5.99</v>
      </c>
    </row>
    <row r="17" spans="1:5" x14ac:dyDescent="0.25">
      <c r="A17">
        <v>2035</v>
      </c>
      <c r="B17">
        <v>90</v>
      </c>
      <c r="C17">
        <v>4</v>
      </c>
      <c r="D17">
        <v>0.01</v>
      </c>
      <c r="E17">
        <v>5.99</v>
      </c>
    </row>
    <row r="18" spans="1:5" x14ac:dyDescent="0.25">
      <c r="A18">
        <v>2036</v>
      </c>
      <c r="B18">
        <v>90</v>
      </c>
      <c r="C18">
        <v>4</v>
      </c>
      <c r="D18">
        <v>0.01</v>
      </c>
      <c r="E18">
        <v>5.99</v>
      </c>
    </row>
    <row r="19" spans="1:5" x14ac:dyDescent="0.25">
      <c r="A19">
        <v>2037</v>
      </c>
      <c r="B19">
        <v>90</v>
      </c>
      <c r="C19">
        <v>4</v>
      </c>
      <c r="D19">
        <v>0.01</v>
      </c>
      <c r="E19">
        <v>5.99</v>
      </c>
    </row>
    <row r="20" spans="1:5" x14ac:dyDescent="0.25">
      <c r="A20">
        <v>2038</v>
      </c>
      <c r="B20">
        <v>90</v>
      </c>
      <c r="C20">
        <v>4</v>
      </c>
      <c r="D20">
        <v>0.01</v>
      </c>
      <c r="E20">
        <v>5.99</v>
      </c>
    </row>
    <row r="21" spans="1:5" x14ac:dyDescent="0.25">
      <c r="A21">
        <v>2039</v>
      </c>
      <c r="B21">
        <v>90</v>
      </c>
      <c r="C21">
        <v>4</v>
      </c>
      <c r="D21">
        <v>0.01</v>
      </c>
      <c r="E21">
        <v>5.99</v>
      </c>
    </row>
    <row r="22" spans="1:5" x14ac:dyDescent="0.25">
      <c r="A22">
        <v>2040</v>
      </c>
      <c r="B22">
        <v>90</v>
      </c>
      <c r="C22">
        <v>4</v>
      </c>
      <c r="D22">
        <v>0.01</v>
      </c>
      <c r="E22">
        <v>5.99</v>
      </c>
    </row>
    <row r="23" spans="1:5" x14ac:dyDescent="0.25">
      <c r="A23">
        <v>2041</v>
      </c>
      <c r="B23">
        <v>90</v>
      </c>
      <c r="C23">
        <v>4</v>
      </c>
      <c r="D23">
        <v>0.01</v>
      </c>
      <c r="E23">
        <v>5.99</v>
      </c>
    </row>
    <row r="24" spans="1:5" x14ac:dyDescent="0.25">
      <c r="A24">
        <v>2042</v>
      </c>
      <c r="B24">
        <v>90</v>
      </c>
      <c r="C24">
        <v>4</v>
      </c>
      <c r="D24">
        <v>0.01</v>
      </c>
      <c r="E24">
        <v>5.99</v>
      </c>
    </row>
    <row r="25" spans="1:5" x14ac:dyDescent="0.25">
      <c r="A25">
        <v>2043</v>
      </c>
      <c r="B25">
        <v>90</v>
      </c>
      <c r="C25">
        <v>4</v>
      </c>
      <c r="D25">
        <v>0.01</v>
      </c>
      <c r="E25">
        <v>5.99</v>
      </c>
    </row>
    <row r="26" spans="1:5" x14ac:dyDescent="0.25">
      <c r="A26">
        <v>2044</v>
      </c>
      <c r="B26">
        <v>90</v>
      </c>
      <c r="C26">
        <v>4</v>
      </c>
      <c r="D26">
        <v>0.01</v>
      </c>
      <c r="E26">
        <v>5.99</v>
      </c>
    </row>
    <row r="27" spans="1:5" x14ac:dyDescent="0.25">
      <c r="A27">
        <v>2045</v>
      </c>
      <c r="B27">
        <v>90</v>
      </c>
      <c r="C27">
        <v>4</v>
      </c>
      <c r="D27">
        <v>0.01</v>
      </c>
      <c r="E27">
        <v>5.99</v>
      </c>
    </row>
    <row r="28" spans="1:5" x14ac:dyDescent="0.25">
      <c r="A28">
        <v>2046</v>
      </c>
      <c r="B28">
        <v>90</v>
      </c>
      <c r="C28">
        <v>4</v>
      </c>
      <c r="D28">
        <v>0.01</v>
      </c>
      <c r="E28">
        <v>5.99</v>
      </c>
    </row>
    <row r="29" spans="1:5" x14ac:dyDescent="0.25">
      <c r="A29">
        <v>2047</v>
      </c>
      <c r="B29">
        <v>90</v>
      </c>
      <c r="C29">
        <v>4</v>
      </c>
      <c r="D29">
        <v>0.01</v>
      </c>
      <c r="E29">
        <v>5.99</v>
      </c>
    </row>
    <row r="30" spans="1:5" x14ac:dyDescent="0.25">
      <c r="A30">
        <v>2048</v>
      </c>
      <c r="B30">
        <v>90</v>
      </c>
      <c r="C30">
        <v>4</v>
      </c>
      <c r="D30">
        <v>0.01</v>
      </c>
      <c r="E30">
        <v>5.99</v>
      </c>
    </row>
    <row r="31" spans="1:5" x14ac:dyDescent="0.25">
      <c r="A31">
        <v>2049</v>
      </c>
      <c r="B31">
        <v>90</v>
      </c>
      <c r="C31">
        <v>4</v>
      </c>
      <c r="D31">
        <v>0.01</v>
      </c>
      <c r="E31">
        <v>5.99</v>
      </c>
    </row>
    <row r="32" spans="1:5" x14ac:dyDescent="0.25">
      <c r="A32">
        <v>2050</v>
      </c>
      <c r="B32">
        <v>90</v>
      </c>
      <c r="C32">
        <v>4</v>
      </c>
      <c r="D32">
        <v>0.01</v>
      </c>
      <c r="E32">
        <v>5.99</v>
      </c>
    </row>
    <row r="33" spans="1:5" x14ac:dyDescent="0.25">
      <c r="A33">
        <v>2051</v>
      </c>
      <c r="B33">
        <v>90</v>
      </c>
      <c r="C33">
        <v>4</v>
      </c>
      <c r="D33">
        <v>0.01</v>
      </c>
      <c r="E33">
        <v>5.99</v>
      </c>
    </row>
    <row r="34" spans="1:5" x14ac:dyDescent="0.25">
      <c r="A34">
        <v>2052</v>
      </c>
      <c r="B34">
        <v>90</v>
      </c>
      <c r="C34">
        <v>4</v>
      </c>
      <c r="D34">
        <v>0.01</v>
      </c>
      <c r="E34">
        <v>5.99</v>
      </c>
    </row>
    <row r="35" spans="1:5" x14ac:dyDescent="0.25">
      <c r="A35">
        <v>2053</v>
      </c>
      <c r="B35">
        <v>90</v>
      </c>
      <c r="C35">
        <v>4</v>
      </c>
      <c r="D35">
        <v>0.01</v>
      </c>
      <c r="E35">
        <v>5.99</v>
      </c>
    </row>
    <row r="36" spans="1:5" x14ac:dyDescent="0.25">
      <c r="A36">
        <v>2054</v>
      </c>
      <c r="B36">
        <v>90</v>
      </c>
      <c r="C36">
        <v>4</v>
      </c>
      <c r="D36">
        <v>0.01</v>
      </c>
      <c r="E36">
        <v>5.99</v>
      </c>
    </row>
    <row r="37" spans="1:5" x14ac:dyDescent="0.25">
      <c r="A37">
        <v>2055</v>
      </c>
      <c r="B37">
        <v>90</v>
      </c>
      <c r="C37">
        <v>4</v>
      </c>
      <c r="D37">
        <v>0.01</v>
      </c>
      <c r="E37">
        <v>5.99</v>
      </c>
    </row>
    <row r="38" spans="1:5" x14ac:dyDescent="0.25">
      <c r="A38">
        <v>2056</v>
      </c>
      <c r="B38">
        <v>90</v>
      </c>
      <c r="C38">
        <v>4</v>
      </c>
      <c r="D38">
        <v>0.01</v>
      </c>
      <c r="E38">
        <v>5.99</v>
      </c>
    </row>
    <row r="39" spans="1:5" x14ac:dyDescent="0.25">
      <c r="A39">
        <v>2057</v>
      </c>
      <c r="B39">
        <v>90</v>
      </c>
      <c r="C39">
        <v>4</v>
      </c>
      <c r="D39">
        <v>0.01</v>
      </c>
      <c r="E39">
        <v>5.99</v>
      </c>
    </row>
    <row r="40" spans="1:5" x14ac:dyDescent="0.25">
      <c r="A40">
        <v>2058</v>
      </c>
      <c r="B40">
        <v>90</v>
      </c>
      <c r="C40">
        <v>4</v>
      </c>
      <c r="D40">
        <v>0.01</v>
      </c>
      <c r="E40">
        <v>5.99</v>
      </c>
    </row>
    <row r="41" spans="1:5" x14ac:dyDescent="0.25">
      <c r="A41">
        <v>2059</v>
      </c>
      <c r="B41">
        <v>90</v>
      </c>
      <c r="C41">
        <v>4</v>
      </c>
      <c r="D41">
        <v>0.01</v>
      </c>
      <c r="E41">
        <v>5.99</v>
      </c>
    </row>
    <row r="42" spans="1:5" x14ac:dyDescent="0.25">
      <c r="A42">
        <v>2060</v>
      </c>
      <c r="B42">
        <v>90</v>
      </c>
      <c r="C42">
        <v>4</v>
      </c>
      <c r="D42">
        <v>0.01</v>
      </c>
      <c r="E42">
        <v>5.99</v>
      </c>
    </row>
    <row r="43" spans="1:5" x14ac:dyDescent="0.25">
      <c r="A43">
        <v>2061</v>
      </c>
      <c r="B43">
        <v>90</v>
      </c>
      <c r="C43">
        <v>4</v>
      </c>
      <c r="D43">
        <v>0.01</v>
      </c>
      <c r="E43">
        <v>5.99</v>
      </c>
    </row>
    <row r="44" spans="1:5" x14ac:dyDescent="0.25">
      <c r="A44">
        <v>2062</v>
      </c>
      <c r="B44">
        <v>90</v>
      </c>
      <c r="C44">
        <v>4</v>
      </c>
      <c r="D44">
        <v>0.01</v>
      </c>
      <c r="E44">
        <v>5.99</v>
      </c>
    </row>
    <row r="45" spans="1:5" x14ac:dyDescent="0.25">
      <c r="A45">
        <v>2063</v>
      </c>
      <c r="B45">
        <v>90</v>
      </c>
      <c r="C45">
        <v>4</v>
      </c>
      <c r="D45">
        <v>0.01</v>
      </c>
      <c r="E45">
        <v>5.99</v>
      </c>
    </row>
    <row r="46" spans="1:5" x14ac:dyDescent="0.25">
      <c r="A46">
        <v>2064</v>
      </c>
      <c r="B46">
        <v>90</v>
      </c>
      <c r="C46">
        <v>4</v>
      </c>
      <c r="D46">
        <v>0.01</v>
      </c>
      <c r="E46">
        <v>5.99</v>
      </c>
    </row>
    <row r="47" spans="1:5" x14ac:dyDescent="0.25">
      <c r="A47">
        <v>2065</v>
      </c>
      <c r="B47">
        <v>90</v>
      </c>
      <c r="C47">
        <v>4</v>
      </c>
      <c r="D47">
        <v>0.01</v>
      </c>
      <c r="E47">
        <v>5.99</v>
      </c>
    </row>
    <row r="48" spans="1:5" x14ac:dyDescent="0.25">
      <c r="A48">
        <v>2066</v>
      </c>
      <c r="B48">
        <v>90</v>
      </c>
      <c r="C48">
        <v>4</v>
      </c>
      <c r="D48">
        <v>0.01</v>
      </c>
      <c r="E48">
        <v>5.99</v>
      </c>
    </row>
    <row r="49" spans="1:5" x14ac:dyDescent="0.25">
      <c r="A49">
        <v>2067</v>
      </c>
      <c r="B49">
        <v>90</v>
      </c>
      <c r="C49">
        <v>4</v>
      </c>
      <c r="D49">
        <v>0.01</v>
      </c>
      <c r="E49">
        <v>5.99</v>
      </c>
    </row>
    <row r="50" spans="1:5" x14ac:dyDescent="0.25">
      <c r="A50">
        <v>2068</v>
      </c>
      <c r="B50">
        <v>90</v>
      </c>
      <c r="C50">
        <v>4</v>
      </c>
      <c r="D50">
        <v>0.01</v>
      </c>
      <c r="E50">
        <v>5.99</v>
      </c>
    </row>
    <row r="51" spans="1:5" x14ac:dyDescent="0.25">
      <c r="A51">
        <v>2069</v>
      </c>
      <c r="B51">
        <v>90</v>
      </c>
      <c r="C51">
        <v>4</v>
      </c>
      <c r="D51">
        <v>0.01</v>
      </c>
      <c r="E51">
        <v>5.99</v>
      </c>
    </row>
    <row r="52" spans="1:5" x14ac:dyDescent="0.25">
      <c r="A52">
        <v>2070</v>
      </c>
      <c r="B52">
        <v>90</v>
      </c>
      <c r="C52">
        <v>4</v>
      </c>
      <c r="D52">
        <v>0.01</v>
      </c>
      <c r="E52">
        <v>5.99</v>
      </c>
    </row>
    <row r="53" spans="1:5" x14ac:dyDescent="0.25">
      <c r="A53">
        <v>2071</v>
      </c>
      <c r="B53">
        <v>90</v>
      </c>
      <c r="C53">
        <v>4</v>
      </c>
      <c r="D53">
        <v>0.01</v>
      </c>
      <c r="E53">
        <v>5.99</v>
      </c>
    </row>
    <row r="54" spans="1:5" x14ac:dyDescent="0.25">
      <c r="A54">
        <v>2072</v>
      </c>
      <c r="B54">
        <v>90</v>
      </c>
      <c r="C54">
        <v>4</v>
      </c>
      <c r="D54">
        <v>0.01</v>
      </c>
      <c r="E54">
        <v>5.99</v>
      </c>
    </row>
    <row r="55" spans="1:5" x14ac:dyDescent="0.25">
      <c r="A55">
        <v>2073</v>
      </c>
      <c r="B55">
        <v>90</v>
      </c>
      <c r="C55">
        <v>4</v>
      </c>
      <c r="D55">
        <v>0.01</v>
      </c>
      <c r="E55">
        <v>5.99</v>
      </c>
    </row>
    <row r="56" spans="1:5" x14ac:dyDescent="0.25">
      <c r="A56">
        <v>2074</v>
      </c>
      <c r="B56">
        <v>90</v>
      </c>
      <c r="C56">
        <v>4</v>
      </c>
      <c r="D56">
        <v>0.01</v>
      </c>
      <c r="E56">
        <v>5.99</v>
      </c>
    </row>
    <row r="57" spans="1:5" x14ac:dyDescent="0.25">
      <c r="A57">
        <v>2075</v>
      </c>
      <c r="B57">
        <v>90</v>
      </c>
      <c r="C57">
        <v>4</v>
      </c>
      <c r="D57">
        <v>0.01</v>
      </c>
      <c r="E57">
        <v>5.99</v>
      </c>
    </row>
    <row r="58" spans="1:5" x14ac:dyDescent="0.25">
      <c r="A58">
        <v>2076</v>
      </c>
      <c r="B58">
        <v>90</v>
      </c>
      <c r="C58">
        <v>4</v>
      </c>
      <c r="D58">
        <v>0.01</v>
      </c>
      <c r="E58">
        <v>5.99</v>
      </c>
    </row>
    <row r="59" spans="1:5" x14ac:dyDescent="0.25">
      <c r="A59">
        <v>2077</v>
      </c>
      <c r="B59">
        <v>90</v>
      </c>
      <c r="C59">
        <v>4</v>
      </c>
      <c r="D59">
        <v>0.01</v>
      </c>
      <c r="E59">
        <v>5.99</v>
      </c>
    </row>
    <row r="60" spans="1:5" x14ac:dyDescent="0.25">
      <c r="A60">
        <v>2078</v>
      </c>
      <c r="B60">
        <v>90</v>
      </c>
      <c r="C60">
        <v>4</v>
      </c>
      <c r="D60">
        <v>0.01</v>
      </c>
      <c r="E60">
        <v>5.99</v>
      </c>
    </row>
    <row r="61" spans="1:5" x14ac:dyDescent="0.25">
      <c r="A61">
        <v>2079</v>
      </c>
      <c r="B61">
        <v>90</v>
      </c>
      <c r="C61">
        <v>4</v>
      </c>
      <c r="D61">
        <v>0.01</v>
      </c>
      <c r="E61">
        <v>5.99</v>
      </c>
    </row>
    <row r="62" spans="1:5" x14ac:dyDescent="0.25">
      <c r="A62">
        <v>2080</v>
      </c>
      <c r="B62">
        <v>90</v>
      </c>
      <c r="C62">
        <v>4</v>
      </c>
      <c r="D62">
        <v>0.01</v>
      </c>
      <c r="E62">
        <v>5.99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TripDistances</vt:lpstr>
      <vt:lpstr>ProjectTypes</vt:lpstr>
      <vt:lpstr>DefaultLifetime</vt:lpstr>
      <vt:lpstr>TransitDependencyAdjustments</vt:lpstr>
      <vt:lpstr>GREETCarbonIntensity</vt:lpstr>
      <vt:lpstr>MobilityServiceVMTReduction</vt:lpstr>
      <vt:lpstr>OCTAMobilityHubVMT</vt:lpstr>
      <vt:lpstr>AccesstoTransitImpact</vt:lpstr>
      <vt:lpstr>AdjustmentFactorsAndTripLengths</vt:lpstr>
      <vt:lpstr>VMTByCommunityType</vt:lpstr>
      <vt:lpstr>TotalVMTReductionPotential</vt:lpstr>
      <vt:lpstr>ElasticityOfRidershipIncrease</vt:lpstr>
      <vt:lpstr>RecommendedBRTImpactAssumptions</vt:lpstr>
      <vt:lpstr>TripAndVMTModeShiftPotential</vt:lpstr>
      <vt:lpstr>EnergyEfficiencyForEVs</vt:lpstr>
      <vt:lpstr>ModeShiftFactor</vt:lpstr>
      <vt:lpstr>CreditForKeyDestinations</vt:lpstr>
      <vt:lpstr>FuelConsumptionAtIdle</vt:lpstr>
      <vt:lpstr>ImpactOfCapacityExpansion </vt:lpstr>
      <vt:lpstr>TotalLifecycleGHGs</vt:lpstr>
      <vt:lpstr>SocialCostCarbon</vt:lpstr>
      <vt:lpstr>FleetProportion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Giesie, Mallory</dc:creator>
  <cp:lastModifiedBy>Giesie, Mallory</cp:lastModifiedBy>
  <dcterms:created xsi:type="dcterms:W3CDTF">2024-05-31T04:49:48Z</dcterms:created>
  <dcterms:modified xsi:type="dcterms:W3CDTF">2024-08-19T15:35:03Z</dcterms:modified>
</cp:coreProperties>
</file>