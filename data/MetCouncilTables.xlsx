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fonline-my.sharepoint.com/personal/61886_icf_com/Documents/Desktop/transport-emission-shiny/data/"/>
    </mc:Choice>
  </mc:AlternateContent>
  <xr:revisionPtr revIDLastSave="332" documentId="8_{BBC49CD7-68E0-4D8F-B576-EE14E509F0DE}" xr6:coauthVersionLast="47" xr6:coauthVersionMax="47" xr10:uidLastSave="{BA764040-35DF-4FCB-8722-D12876E356B2}"/>
  <bookViews>
    <workbookView xWindow="-120" yWindow="-120" windowWidth="29040" windowHeight="15720" firstSheet="3" activeTab="3" xr2:uid="{00000000-000D-0000-FFFF-FFFF00000000}"/>
  </bookViews>
  <sheets>
    <sheet name="TripDistances" sheetId="42" r:id="rId1"/>
    <sheet name="ProjectTypes" sheetId="1" r:id="rId2"/>
    <sheet name="DefaultLifetime" sheetId="2" r:id="rId3"/>
    <sheet name="CPRGCountyEmissions" sheetId="47" r:id="rId4"/>
    <sheet name="TransitDependencyAdjustments" sheetId="4" r:id="rId5"/>
    <sheet name="GREETCarbonIntensity" sheetId="5" r:id="rId6"/>
    <sheet name="FuelEfficiency" sheetId="45" r:id="rId7"/>
    <sheet name="MobilityServiceVMTReduction" sheetId="6" r:id="rId8"/>
    <sheet name="OCTAMobilityHubVMT" sheetId="7" r:id="rId9"/>
    <sheet name="AccesstoTransitImpact" sheetId="8" r:id="rId10"/>
    <sheet name="AdjustmentFactorsAndTripLengths" sheetId="11" r:id="rId11"/>
    <sheet name="VMTByCommunityType" sheetId="44" r:id="rId12"/>
    <sheet name="TotalVMTReductionPotential" sheetId="12" r:id="rId13"/>
    <sheet name="ChargerUtilizationRates" sheetId="46" r:id="rId14"/>
    <sheet name="ElasticityOfRidershipIncrease" sheetId="14" r:id="rId15"/>
    <sheet name="RecommendedBRTImpactAssumptions" sheetId="15" r:id="rId16"/>
    <sheet name="TripAndVMTModeShiftPotential" sheetId="19" r:id="rId17"/>
    <sheet name="EnergyEfficiencyForEVs" sheetId="20" r:id="rId18"/>
    <sheet name="ModeShiftFactor" sheetId="22" r:id="rId19"/>
    <sheet name="CreditForKeyDestinations" sheetId="23" r:id="rId20"/>
    <sheet name="FuelConsumptionAtIdle" sheetId="28" r:id="rId21"/>
    <sheet name="ImpactOfCapacityExpansion " sheetId="32" r:id="rId22"/>
    <sheet name="TotalLifecycleGHGs" sheetId="39" r:id="rId23"/>
    <sheet name="SocialCostCarbon" sheetId="40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5" l="1"/>
  <c r="C4" i="45"/>
  <c r="C2" i="45"/>
  <c r="H31" i="5"/>
  <c r="I31" i="5"/>
  <c r="H32" i="5"/>
  <c r="I32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F31" i="5"/>
  <c r="F30" i="5"/>
  <c r="F24" i="5"/>
  <c r="F23" i="5"/>
  <c r="F21" i="5"/>
  <c r="F20" i="5"/>
  <c r="F19" i="5"/>
  <c r="F18" i="5"/>
  <c r="F16" i="5"/>
  <c r="F15" i="5"/>
  <c r="F14" i="5"/>
  <c r="F13" i="5"/>
  <c r="F6" i="5"/>
  <c r="F5" i="5"/>
  <c r="F4" i="5"/>
  <c r="F3" i="5"/>
  <c r="F29" i="5"/>
  <c r="F28" i="5"/>
  <c r="F26" i="5"/>
  <c r="F25" i="5"/>
  <c r="F11" i="5"/>
  <c r="F10" i="5"/>
  <c r="F9" i="5"/>
  <c r="F8" i="5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7" i="5"/>
</calcChain>
</file>

<file path=xl/sharedStrings.xml><?xml version="1.0" encoding="utf-8"?>
<sst xmlns="http://schemas.openxmlformats.org/spreadsheetml/2006/main" count="18781" uniqueCount="321">
  <si>
    <t>mode_type</t>
  </si>
  <si>
    <t>distance_avg</t>
  </si>
  <si>
    <t>distance_avg_low</t>
  </si>
  <si>
    <t>distance_avg_upp</t>
  </si>
  <si>
    <t>distance_median</t>
  </si>
  <si>
    <t>distance_median_low</t>
  </si>
  <si>
    <t>distance_median_upp</t>
  </si>
  <si>
    <t>count</t>
  </si>
  <si>
    <t>Bicycle</t>
  </si>
  <si>
    <t>For-Hire Vehicle</t>
  </si>
  <si>
    <t>NA</t>
  </si>
  <si>
    <t>Household Vehicle</t>
  </si>
  <si>
    <t>Long distance passenger mode</t>
  </si>
  <si>
    <t>Micromobility</t>
  </si>
  <si>
    <t>Missing</t>
  </si>
  <si>
    <t>Other</t>
  </si>
  <si>
    <t>Other Bus</t>
  </si>
  <si>
    <t>Other Vehicle</t>
  </si>
  <si>
    <t>Public Bus</t>
  </si>
  <si>
    <t>Rail</t>
  </si>
  <si>
    <t>School Bus</t>
  </si>
  <si>
    <t>Smartphone ridehailing service</t>
  </si>
  <si>
    <t>Walk</t>
  </si>
  <si>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</si>
  <si>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</si>
  <si>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</si>
  <si>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</si>
  <si>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</si>
  <si>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</si>
  <si>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</si>
  <si>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</si>
  <si>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</si>
  <si>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</si>
  <si>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</si>
  <si>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</si>
  <si>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</si>
  <si>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</si>
  <si>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</si>
  <si>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</si>
  <si>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</si>
  <si>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</si>
  <si>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</si>
  <si>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</si>
  <si>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</si>
  <si>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</si>
  <si>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</si>
  <si>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</si>
  <si>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</si>
  <si>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</si>
  <si>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</si>
  <si>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</si>
  <si>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</si>
  <si>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</si>
  <si>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</si>
  <si>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</si>
  <si>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</si>
  <si>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</si>
  <si>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</si>
  <si>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</si>
  <si>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</si>
  <si>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</si>
  <si>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</si>
  <si>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Diesel Commuter Rail</t>
  </si>
  <si>
    <t>Electric Commuter Rail</t>
  </si>
  <si>
    <t>Core Local</t>
  </si>
  <si>
    <t>Light Rail Transit</t>
  </si>
  <si>
    <t>Suburban Local</t>
  </si>
  <si>
    <t>Support</t>
  </si>
  <si>
    <t>Year</t>
  </si>
  <si>
    <t>fuel</t>
  </si>
  <si>
    <t>gasoline</t>
  </si>
  <si>
    <t>diesel</t>
  </si>
  <si>
    <t>compressed_natural_gas</t>
  </si>
  <si>
    <t>electricity</t>
  </si>
  <si>
    <t>diesel_commuter_rail</t>
  </si>
  <si>
    <t>electric_commuter_rail</t>
  </si>
  <si>
    <t>light_rail</t>
  </si>
  <si>
    <t>WTW CI (gCO₂e/mi)</t>
  </si>
  <si>
    <t>Vehicle Type</t>
  </si>
  <si>
    <t>Average of Fuel Economy Combined (kWh/100 mi)</t>
  </si>
  <si>
    <t>Fuel Efficiency (Wh/mi)</t>
  </si>
  <si>
    <t>Light-Duty</t>
  </si>
  <si>
    <t>Medium-Duty</t>
  </si>
  <si>
    <t>Heavy-Duty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</si>
  <si>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</si>
  <si>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</si>
  <si>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</si>
  <si>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</si>
  <si>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</si>
  <si>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</si>
  <si>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</si>
  <si>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</si>
  <si>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</si>
  <si>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</si>
  <si>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</si>
  <si>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</si>
  <si>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</si>
  <si>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</si>
  <si>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</si>
  <si>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</si>
  <si>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</si>
  <si>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</si>
  <si>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</si>
  <si>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distance_to_transit_variable</t>
  </si>
  <si>
    <t>vmt_reduction_for_reduction_in_distance_to_transit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</si>
  <si>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</si>
  <si>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</si>
  <si>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</si>
  <si>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</si>
  <si>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</si>
  <si>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</si>
  <si>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</si>
  <si>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</si>
  <si>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</si>
  <si>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survey_year</t>
  </si>
  <si>
    <t>vmt_mid</t>
  </si>
  <si>
    <t>vmt_mid_low</t>
  </si>
  <si>
    <t>vmt_mid_upp</t>
  </si>
  <si>
    <t>vmt</t>
  </si>
  <si>
    <t>vmt_low</t>
  </si>
  <si>
    <t>vmt_upp</t>
  </si>
  <si>
    <t>cd_year</t>
  </si>
  <si>
    <t>CD</t>
  </si>
  <si>
    <t>Urban</t>
  </si>
  <si>
    <t>Suburban</t>
  </si>
  <si>
    <t>Suburban Edge</t>
  </si>
  <si>
    <t>Rural / Non-Council</t>
  </si>
  <si>
    <t>mobility_mode</t>
  </si>
  <si>
    <t>total_vmt_reduction_potential</t>
  </si>
  <si>
    <t>elasticity</t>
  </si>
  <si>
    <t>bus</t>
  </si>
  <si>
    <t>commuter_rail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</si>
  <si>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</si>
  <si>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</si>
  <si>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</si>
  <si>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</si>
  <si>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</si>
  <si>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</si>
  <si>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</si>
  <si>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</si>
  <si>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</si>
  <si>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</si>
  <si>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</si>
  <si>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</si>
  <si>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</si>
  <si>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</si>
  <si>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</si>
  <si>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</si>
  <si>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</si>
  <si>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</si>
  <si>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</si>
  <si>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</si>
  <si>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</si>
  <si>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</si>
  <si>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equipment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</si>
  <si>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</si>
  <si>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</si>
  <si>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</si>
  <si>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</si>
  <si>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</si>
  <si>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</si>
  <si>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</si>
  <si>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</si>
  <si>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one_way_facility_length_miles_low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</si>
  <si>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</si>
  <si>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</si>
  <si>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</si>
  <si>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</si>
  <si>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</si>
  <si>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</si>
  <si>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</si>
  <si>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</si>
  <si>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</si>
  <si>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</si>
  <si>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</si>
  <si>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</si>
  <si>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</si>
  <si>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idling_fuel_use_gal_hr_no_load</t>
  </si>
  <si>
    <t>idling_fuel_use_gal_hr_with_load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</si>
  <si>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</si>
  <si>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</si>
  <si>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</si>
  <si>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</si>
  <si>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</si>
  <si>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</si>
  <si>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</si>
  <si>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</si>
  <si>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</si>
  <si>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</si>
  <si>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</si>
  <si>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</si>
  <si>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</si>
  <si>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</si>
  <si>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</si>
  <si>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</si>
  <si>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</si>
  <si>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</si>
  <si>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</si>
  <si>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</si>
  <si>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</si>
  <si>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</si>
  <si>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</si>
  <si>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</si>
  <si>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</si>
  <si>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</si>
  <si>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</si>
  <si>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</si>
  <si>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</si>
  <si>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</si>
  <si>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short-term</t>
  </si>
  <si>
    <t>Cervero and Hansen (2002)</t>
  </si>
  <si>
    <t>California</t>
  </si>
  <si>
    <t>1976-1997</t>
  </si>
  <si>
    <t>intermediate term</t>
  </si>
  <si>
    <t>Noland (2001)</t>
  </si>
  <si>
    <t>U.S.(States – all roadway types)</t>
  </si>
  <si>
    <t>1984-1996</t>
  </si>
  <si>
    <t>0.30 to 0.60</t>
  </si>
  <si>
    <t>0.70 to 1.00</t>
  </si>
  <si>
    <t>Nolandand Cowart (2000)</t>
  </si>
  <si>
    <t>U.S.(Metro Areas – Freeways and arterials)</t>
  </si>
  <si>
    <t>1982-1996</t>
  </si>
  <si>
    <t>Hansen and Huang (1997)</t>
  </si>
  <si>
    <t>1973-1990</t>
  </si>
  <si>
    <t>0.60 to 0.90</t>
  </si>
  <si>
    <t>ghgs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</si>
  <si>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</si>
  <si>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</si>
  <si>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</si>
  <si>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</si>
  <si>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</si>
  <si>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</si>
  <si>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</si>
  <si>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</si>
  <si>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</si>
  <si>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</si>
  <si>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</si>
  <si>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</si>
  <si>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</si>
  <si>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</si>
  <si>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</si>
  <si>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</si>
  <si>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</si>
  <si>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</si>
  <si>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Commuter Rail Diesel</t>
  </si>
  <si>
    <t>Commuter Rail Electric</t>
  </si>
  <si>
    <t>DC_fast</t>
  </si>
  <si>
    <t>level_2</t>
  </si>
  <si>
    <t>year</t>
  </si>
  <si>
    <t>geog_level</t>
  </si>
  <si>
    <t>geoid</t>
  </si>
  <si>
    <t>geog_name</t>
  </si>
  <si>
    <t>sector</t>
  </si>
  <si>
    <t>emissions_metric_tons_co2e</t>
  </si>
  <si>
    <t>data_source</t>
  </si>
  <si>
    <t>factor_source</t>
  </si>
  <si>
    <t>county_total_population</t>
  </si>
  <si>
    <t>population_data_source</t>
  </si>
  <si>
    <t>emissions_per_capita</t>
  </si>
  <si>
    <t>county</t>
  </si>
  <si>
    <t>Anoka</t>
  </si>
  <si>
    <t>Transportation</t>
  </si>
  <si>
    <t>Passenger vehicles</t>
  </si>
  <si>
    <t>Gasoline fueled vehicles</t>
  </si>
  <si>
    <t>EQUATES</t>
  </si>
  <si>
    <t>MOVES3</t>
  </si>
  <si>
    <t>US Census County Intercensal Tables (CO-EST00INT-01)</t>
  </si>
  <si>
    <t>Diesel fueled vehicles</t>
  </si>
  <si>
    <t>Buses</t>
  </si>
  <si>
    <t>Other fueled vehicles</t>
  </si>
  <si>
    <t>Trucks</t>
  </si>
  <si>
    <t>Carver</t>
  </si>
  <si>
    <t>Chisago</t>
  </si>
  <si>
    <t>Dakota</t>
  </si>
  <si>
    <t>Hennepin</t>
  </si>
  <si>
    <t>Ramsey</t>
  </si>
  <si>
    <t>Scott</t>
  </si>
  <si>
    <t>Sherburne</t>
  </si>
  <si>
    <t>Washington</t>
  </si>
  <si>
    <t>Pierce</t>
  </si>
  <si>
    <t>St. Croix</t>
  </si>
  <si>
    <t>Decennial Census, Table P1</t>
  </si>
  <si>
    <t>US Census County Intercensal Tables (CO-EST2020)</t>
  </si>
  <si>
    <t>National Emissions Inventory</t>
  </si>
  <si>
    <t>Air Emissions Modeling</t>
  </si>
  <si>
    <t>MOVES4</t>
  </si>
  <si>
    <t>ACS 5-Year Estimates, Table DP05</t>
  </si>
  <si>
    <t>Energy</t>
  </si>
  <si>
    <t>Liquid stationary fuels</t>
  </si>
  <si>
    <t>Propane</t>
  </si>
  <si>
    <t>EIA RECS (2020)</t>
  </si>
  <si>
    <t>EPA GHG Emission Factors Hub (2021)</t>
  </si>
  <si>
    <t>Kerosene</t>
  </si>
  <si>
    <t>Total energy</t>
  </si>
  <si>
    <t>Electricity</t>
  </si>
  <si>
    <t>Individual electric utilities, NREL SLOPE</t>
  </si>
  <si>
    <t>eGRID MROW</t>
  </si>
  <si>
    <t>Commercial energy</t>
  </si>
  <si>
    <t>Industrial energy</t>
  </si>
  <si>
    <t>Residential energy</t>
  </si>
  <si>
    <t>Natural gas</t>
  </si>
  <si>
    <t>Individual natural gas utilities, NREL SLOPE (2021)</t>
  </si>
  <si>
    <t>Waste</t>
  </si>
  <si>
    <t>Wastewater</t>
  </si>
  <si>
    <t>EPA State GHG Inventory and Projection Tool</t>
  </si>
  <si>
    <t>Solid waste</t>
  </si>
  <si>
    <t>Landfill</t>
  </si>
  <si>
    <t>MPCA SCORE</t>
  </si>
  <si>
    <t>Organics</t>
  </si>
  <si>
    <t>Recycling</t>
  </si>
  <si>
    <t>Waste to energy</t>
  </si>
  <si>
    <t>Wisconsin DNR</t>
  </si>
  <si>
    <t>Nature</t>
  </si>
  <si>
    <t>Sequestration</t>
  </si>
  <si>
    <t>Grassland</t>
  </si>
  <si>
    <t>ESA WorldCover &amp; NLCD 2021</t>
  </si>
  <si>
    <t>Various primary literature</t>
  </si>
  <si>
    <t>Tree</t>
  </si>
  <si>
    <t>Urban grassland</t>
  </si>
  <si>
    <t>Urban tree</t>
  </si>
  <si>
    <t>Wetland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</si>
</sst>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  <xf numFmtId="0" fontId="1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DC05-FA87-40E6-A32B-A06CC074627B}">
  <dimension ref="A1:H15"/>
  <sheetViews>
    <sheetView workbookViewId="0"/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2.9749119231916001</v>
      </c>
      <c r="C2">
        <v>2.4119651827793902</v>
      </c>
      <c r="D2">
        <v>3.5378586636037999</v>
      </c>
      <c r="E2">
        <v>1.54680046864397</v>
      </c>
      <c r="F2">
        <v>1.23623681666273</v>
      </c>
      <c r="G2">
        <v>2.0965177550660798</v>
      </c>
      <c r="H2">
        <v>537</v>
      </c>
    </row>
    <row r="3" spans="1:8" x14ac:dyDescent="0.25">
      <c r="A3" t="s">
        <v>9</v>
      </c>
      <c r="B3">
        <v>3.6999170502861798</v>
      </c>
      <c r="C3">
        <v>2.5538506463772901</v>
      </c>
      <c r="D3">
        <v>4.8459834541950704</v>
      </c>
      <c r="E3">
        <v>4.2547154693920097</v>
      </c>
      <c r="F3">
        <v>4.2547154693920097</v>
      </c>
      <c r="G3" t="s">
        <v>10</v>
      </c>
      <c r="H3">
        <v>30</v>
      </c>
    </row>
    <row r="4" spans="1:8" x14ac:dyDescent="0.25">
      <c r="A4" t="s">
        <v>11</v>
      </c>
      <c r="B4">
        <v>5.9016230035503296</v>
      </c>
      <c r="C4">
        <v>5.7355947620142604</v>
      </c>
      <c r="D4">
        <v>6.0676512450864104</v>
      </c>
      <c r="E4">
        <v>3.6316722396401402</v>
      </c>
      <c r="F4">
        <v>3.5184190209222801</v>
      </c>
      <c r="G4">
        <v>3.7296255253294799</v>
      </c>
      <c r="H4">
        <v>24661</v>
      </c>
    </row>
    <row r="5" spans="1:8" x14ac:dyDescent="0.25">
      <c r="A5" t="s">
        <v>12</v>
      </c>
      <c r="B5">
        <v>3.8634645109851302</v>
      </c>
      <c r="C5">
        <v>3.8634645109851302</v>
      </c>
      <c r="D5">
        <v>3.8634645109851302</v>
      </c>
      <c r="E5">
        <v>3.8634645109851302</v>
      </c>
      <c r="F5" t="s">
        <v>10</v>
      </c>
      <c r="G5" t="s">
        <v>10</v>
      </c>
      <c r="H5">
        <v>1</v>
      </c>
    </row>
    <row r="6" spans="1:8" x14ac:dyDescent="0.25">
      <c r="A6" t="s">
        <v>13</v>
      </c>
      <c r="B6">
        <v>0.71198948216291502</v>
      </c>
      <c r="C6">
        <v>0.389736805991869</v>
      </c>
      <c r="D6">
        <v>1.03424215833396</v>
      </c>
      <c r="E6">
        <v>0.50182283165373298</v>
      </c>
      <c r="F6">
        <v>0.34792776009053</v>
      </c>
      <c r="G6">
        <v>1.48653150978066</v>
      </c>
      <c r="H6">
        <v>8</v>
      </c>
    </row>
    <row r="7" spans="1:8" x14ac:dyDescent="0.25">
      <c r="A7" t="s">
        <v>14</v>
      </c>
      <c r="B7">
        <v>0.97570910188785598</v>
      </c>
      <c r="C7">
        <v>0.678877459679468</v>
      </c>
      <c r="D7">
        <v>1.27254074409624</v>
      </c>
      <c r="E7">
        <v>0.30579813491132901</v>
      </c>
      <c r="F7">
        <v>0.26405217382669199</v>
      </c>
      <c r="G7">
        <v>0.38299261169806598</v>
      </c>
      <c r="H7">
        <v>744</v>
      </c>
    </row>
    <row r="8" spans="1:8" x14ac:dyDescent="0.25">
      <c r="A8" t="s">
        <v>15</v>
      </c>
      <c r="B8">
        <v>6.4778152091502204</v>
      </c>
      <c r="C8">
        <v>3.9201240751621702</v>
      </c>
      <c r="D8">
        <v>9.0355063431382696</v>
      </c>
      <c r="E8">
        <v>3.1503708159140298</v>
      </c>
      <c r="F8">
        <v>1.98401869924806</v>
      </c>
      <c r="G8">
        <v>5.0317932725823402</v>
      </c>
      <c r="H8">
        <v>172</v>
      </c>
    </row>
    <row r="9" spans="1:8" x14ac:dyDescent="0.25">
      <c r="A9" t="s">
        <v>16</v>
      </c>
      <c r="B9">
        <v>7.7004599845074297</v>
      </c>
      <c r="C9">
        <v>0.19012344959704799</v>
      </c>
      <c r="D9">
        <v>15.2107965194178</v>
      </c>
      <c r="E9">
        <v>3.5798176526679</v>
      </c>
      <c r="F9">
        <v>2.1826241499209398</v>
      </c>
      <c r="G9">
        <v>5.53153176776941</v>
      </c>
      <c r="H9">
        <v>61</v>
      </c>
    </row>
    <row r="10" spans="1:8" x14ac:dyDescent="0.25">
      <c r="A10" t="s">
        <v>17</v>
      </c>
      <c r="B10">
        <v>5.8322002863550404</v>
      </c>
      <c r="C10">
        <v>5.2493400278704199</v>
      </c>
      <c r="D10">
        <v>6.4150605448396503</v>
      </c>
      <c r="E10">
        <v>3.4341547328826598</v>
      </c>
      <c r="F10">
        <v>2.84192477033208</v>
      </c>
      <c r="G10">
        <v>3.8088495422747601</v>
      </c>
      <c r="H10">
        <v>1699</v>
      </c>
    </row>
    <row r="11" spans="1:8" x14ac:dyDescent="0.25">
      <c r="A11" t="s">
        <v>18</v>
      </c>
      <c r="B11">
        <v>5.2559515730838502</v>
      </c>
      <c r="C11">
        <v>4.3340884063229499</v>
      </c>
      <c r="D11">
        <v>6.1778147398447603</v>
      </c>
      <c r="E11">
        <v>3.90877999838896</v>
      </c>
      <c r="F11">
        <v>2.5543898528153401</v>
      </c>
      <c r="G11">
        <v>4.75539530008502</v>
      </c>
      <c r="H11">
        <v>648</v>
      </c>
    </row>
    <row r="12" spans="1:8" x14ac:dyDescent="0.25">
      <c r="A12" t="s">
        <v>19</v>
      </c>
      <c r="B12">
        <v>4.3043541561638703</v>
      </c>
      <c r="C12">
        <v>3.5978914187361402</v>
      </c>
      <c r="D12">
        <v>5.0108168935915902</v>
      </c>
      <c r="E12">
        <v>3.4614622327978899</v>
      </c>
      <c r="F12">
        <v>2.7029974008196498</v>
      </c>
      <c r="G12">
        <v>5.7456170381036502</v>
      </c>
      <c r="H12">
        <v>203</v>
      </c>
    </row>
    <row r="13" spans="1:8" x14ac:dyDescent="0.25">
      <c r="A13" t="s">
        <v>20</v>
      </c>
      <c r="B13">
        <v>4.4554427783066402</v>
      </c>
      <c r="C13">
        <v>2.9360163676167201</v>
      </c>
      <c r="D13">
        <v>5.9748691889965704</v>
      </c>
      <c r="E13">
        <v>2.05524454125531</v>
      </c>
      <c r="F13">
        <v>1.8132993857604001</v>
      </c>
      <c r="G13">
        <v>2.6033558726978798</v>
      </c>
      <c r="H13">
        <v>296</v>
      </c>
    </row>
    <row r="14" spans="1:8" x14ac:dyDescent="0.25">
      <c r="A14" t="s">
        <v>21</v>
      </c>
      <c r="B14">
        <v>5.8745743082736501</v>
      </c>
      <c r="C14">
        <v>4.7868159756589401</v>
      </c>
      <c r="D14">
        <v>6.9623326408883504</v>
      </c>
      <c r="E14">
        <v>5.6432568002624199</v>
      </c>
      <c r="F14">
        <v>2.5407774758494401</v>
      </c>
      <c r="G14">
        <v>6.4024709173268803</v>
      </c>
      <c r="H14">
        <v>176</v>
      </c>
    </row>
    <row r="15" spans="1:8" x14ac:dyDescent="0.25">
      <c r="A15" t="s">
        <v>22</v>
      </c>
      <c r="B15">
        <v>0.85801128591603704</v>
      </c>
      <c r="C15">
        <v>0.69649622674294198</v>
      </c>
      <c r="D15">
        <v>1.0195263450891301</v>
      </c>
      <c r="E15">
        <v>0.368423768732074</v>
      </c>
      <c r="F15">
        <v>0.34324348797476201</v>
      </c>
      <c r="G15">
        <v>0.39342064566496898</v>
      </c>
      <c r="H15">
        <v>4415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23</v>
      </c>
      <c r="B1" s="1" t="s">
        <v>24</v>
      </c>
    </row>
    <row r="2" spans="1:2" x14ac:dyDescent="0.25">
      <c r="A2" t="s">
        <v>25</v>
      </c>
      <c r="B2" t="s">
        <v>26</v>
      </c>
    </row>
    <row r="3" spans="1:2" x14ac:dyDescent="0.25">
      <c r="A3" t="s">
        <v>25</v>
      </c>
      <c r="B3" t="s">
        <v>27</v>
      </c>
    </row>
    <row r="4" spans="1:2" x14ac:dyDescent="0.25">
      <c r="A4" t="s">
        <v>28</v>
      </c>
      <c r="B4" t="s">
        <v>29</v>
      </c>
    </row>
    <row r="5" spans="1:2" x14ac:dyDescent="0.25">
      <c r="A5" t="s">
        <v>28</v>
      </c>
      <c r="B5" t="s">
        <v>30</v>
      </c>
    </row>
    <row r="6" spans="1:2" x14ac:dyDescent="0.25">
      <c r="A6" t="s">
        <v>31</v>
      </c>
      <c r="B6" t="s">
        <v>32</v>
      </c>
    </row>
    <row r="7" spans="1:2" x14ac:dyDescent="0.25">
      <c r="A7" t="s">
        <v>31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34</v>
      </c>
      <c r="B9" t="s">
        <v>36</v>
      </c>
    </row>
    <row r="10" spans="1:2" x14ac:dyDescent="0.25">
      <c r="A10" t="s">
        <v>37</v>
      </c>
      <c r="B10" t="s">
        <v>38</v>
      </c>
    </row>
    <row r="11" spans="1:2" x14ac:dyDescent="0.25">
      <c r="A11" t="s">
        <v>37</v>
      </c>
      <c r="B1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A8" sqref="A8"/>
    </sheetView>
  </sheetViews>
  <sheetFormatPr defaultRowHeight="15" x14ac:dyDescent="0.25"/>
  <cols>
    <col min="1" max="1" width="52.42578125" customWidth="1"/>
    <col min="2" max="2" width="52.85546875" customWidth="1"/>
  </cols>
  <sheetData>
    <row r="1" spans="1:3" s="1" customFormat="1" x14ac:dyDescent="0.25">
      <c r="A1" s="1" t="s">
        <v>40</v>
      </c>
      <c r="B1" s="1" t="s">
        <v>41</v>
      </c>
      <c r="C1" s="1" t="s">
        <v>42</v>
      </c>
    </row>
    <row r="2" spans="1:3" x14ac:dyDescent="0.25">
      <c r="A2" t="s">
        <v>43</v>
      </c>
      <c r="B2">
        <v>4</v>
      </c>
      <c r="C2" t="s">
        <v>44</v>
      </c>
    </row>
    <row r="3" spans="1:3" x14ac:dyDescent="0.25">
      <c r="A3" t="s">
        <v>45</v>
      </c>
      <c r="B3">
        <v>5</v>
      </c>
      <c r="C3" t="s">
        <v>46</v>
      </c>
    </row>
    <row r="4" spans="1:3" x14ac:dyDescent="0.25">
      <c r="A4" t="s">
        <v>47</v>
      </c>
      <c r="B4">
        <v>7</v>
      </c>
      <c r="C4" t="s">
        <v>48</v>
      </c>
    </row>
    <row r="5" spans="1:3" x14ac:dyDescent="0.25">
      <c r="A5" t="s">
        <v>49</v>
      </c>
      <c r="B5">
        <v>8</v>
      </c>
      <c r="C5" t="s">
        <v>50</v>
      </c>
    </row>
    <row r="6" spans="1:3" x14ac:dyDescent="0.25">
      <c r="A6" t="s">
        <v>51</v>
      </c>
      <c r="B6">
        <v>10</v>
      </c>
      <c r="C6" t="s">
        <v>52</v>
      </c>
    </row>
    <row r="7" spans="1:3" x14ac:dyDescent="0.25">
      <c r="A7" t="s">
        <v>53</v>
      </c>
      <c r="B7">
        <v>14</v>
      </c>
      <c r="C7" t="s">
        <v>54</v>
      </c>
    </row>
    <row r="8" spans="1:3" x14ac:dyDescent="0.25">
      <c r="A8" t="s">
        <v>55</v>
      </c>
      <c r="B8">
        <v>20</v>
      </c>
      <c r="C8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89040-2E07-49B3-8ACF-96587233C41C}">
  <dimension ref="A1:M2271"/>
  <sheetViews>
    <sheetView tabSelected="1" workbookViewId="0">
      <selection sqref="A1:M2271"/>
    </sheetView>
  </sheetViews>
  <sheetFormatPr defaultRowHeight="15" x14ac:dyDescent="0.25"/>
  <sheetData>
    <row r="1" spans="1:13" x14ac:dyDescent="0.25">
      <c r="A1" t="s">
        <v>248</v>
      </c>
      <c r="B1" t="s">
        <v>249</v>
      </c>
      <c r="C1" t="s">
        <v>250</v>
      </c>
      <c r="D1" t="s">
        <v>251</v>
      </c>
      <c r="E1" t="s">
        <v>252</v>
      </c>
      <c r="F1" t="s">
        <v>23</v>
      </c>
      <c r="G1" t="s">
        <v>42</v>
      </c>
      <c r="H1" t="s">
        <v>253</v>
      </c>
      <c r="I1" t="s">
        <v>254</v>
      </c>
      <c r="J1" t="s">
        <v>255</v>
      </c>
      <c r="K1" t="s">
        <v>256</v>
      </c>
      <c r="L1" t="s">
        <v>257</v>
      </c>
      <c r="M1" t="s">
        <v>258</v>
      </c>
    </row>
    <row r="2" spans="1:13" x14ac:dyDescent="0.25">
      <c r="A2">
        <v>2002</v>
      </c>
      <c r="B2" t="s">
        <v>259</v>
      </c>
      <c r="C2">
        <v>27003</v>
      </c>
      <c r="D2" t="s">
        <v>260</v>
      </c>
      <c r="E2" t="s">
        <v>261</v>
      </c>
      <c r="F2" t="s">
        <v>262</v>
      </c>
      <c r="G2" t="s">
        <v>263</v>
      </c>
      <c r="H2">
        <v>1024287.04876011</v>
      </c>
      <c r="I2" t="s">
        <v>264</v>
      </c>
      <c r="J2" t="s">
        <v>265</v>
      </c>
      <c r="K2">
        <v>308702</v>
      </c>
      <c r="L2" t="s">
        <v>266</v>
      </c>
      <c r="M2">
        <v>3.32</v>
      </c>
    </row>
    <row r="3" spans="1:13" x14ac:dyDescent="0.25">
      <c r="A3">
        <v>2002</v>
      </c>
      <c r="B3" t="s">
        <v>259</v>
      </c>
      <c r="C3">
        <v>27003</v>
      </c>
      <c r="D3" t="s">
        <v>260</v>
      </c>
      <c r="E3" t="s">
        <v>261</v>
      </c>
      <c r="F3" t="s">
        <v>262</v>
      </c>
      <c r="G3" t="s">
        <v>267</v>
      </c>
      <c r="H3">
        <v>30099.7342277801</v>
      </c>
      <c r="I3" t="s">
        <v>264</v>
      </c>
      <c r="J3" t="s">
        <v>265</v>
      </c>
      <c r="K3">
        <v>308702</v>
      </c>
      <c r="L3" t="s">
        <v>266</v>
      </c>
      <c r="M3">
        <v>0.1</v>
      </c>
    </row>
    <row r="4" spans="1:13" x14ac:dyDescent="0.25">
      <c r="A4">
        <v>2002</v>
      </c>
      <c r="B4" t="s">
        <v>259</v>
      </c>
      <c r="C4">
        <v>27003</v>
      </c>
      <c r="D4" t="s">
        <v>260</v>
      </c>
      <c r="E4" t="s">
        <v>261</v>
      </c>
      <c r="F4" t="s">
        <v>268</v>
      </c>
      <c r="G4" t="s">
        <v>263</v>
      </c>
      <c r="H4">
        <v>1079.71708858387</v>
      </c>
      <c r="I4" t="s">
        <v>264</v>
      </c>
      <c r="J4" t="s">
        <v>265</v>
      </c>
      <c r="K4">
        <v>308702</v>
      </c>
      <c r="L4" t="s">
        <v>266</v>
      </c>
      <c r="M4">
        <v>0</v>
      </c>
    </row>
    <row r="5" spans="1:13" x14ac:dyDescent="0.25">
      <c r="A5">
        <v>2002</v>
      </c>
      <c r="B5" t="s">
        <v>259</v>
      </c>
      <c r="C5">
        <v>27003</v>
      </c>
      <c r="D5" t="s">
        <v>260</v>
      </c>
      <c r="E5" t="s">
        <v>261</v>
      </c>
      <c r="F5" t="s">
        <v>268</v>
      </c>
      <c r="G5" t="s">
        <v>267</v>
      </c>
      <c r="H5">
        <v>12748.1376775639</v>
      </c>
      <c r="I5" t="s">
        <v>264</v>
      </c>
      <c r="J5" t="s">
        <v>265</v>
      </c>
      <c r="K5">
        <v>308702</v>
      </c>
      <c r="L5" t="s">
        <v>266</v>
      </c>
      <c r="M5">
        <v>0.04</v>
      </c>
    </row>
    <row r="6" spans="1:13" x14ac:dyDescent="0.25">
      <c r="A6">
        <v>2002</v>
      </c>
      <c r="B6" t="s">
        <v>259</v>
      </c>
      <c r="C6">
        <v>27003</v>
      </c>
      <c r="D6" t="s">
        <v>260</v>
      </c>
      <c r="E6" t="s">
        <v>261</v>
      </c>
      <c r="F6" t="s">
        <v>268</v>
      </c>
      <c r="G6" t="s">
        <v>269</v>
      </c>
      <c r="H6">
        <v>18.738488611514299</v>
      </c>
      <c r="I6" t="s">
        <v>264</v>
      </c>
      <c r="J6" t="s">
        <v>265</v>
      </c>
      <c r="K6">
        <v>308702</v>
      </c>
      <c r="L6" t="s">
        <v>266</v>
      </c>
      <c r="M6">
        <v>0</v>
      </c>
    </row>
    <row r="7" spans="1:13" x14ac:dyDescent="0.25">
      <c r="A7">
        <v>2002</v>
      </c>
      <c r="B7" t="s">
        <v>259</v>
      </c>
      <c r="C7">
        <v>27003</v>
      </c>
      <c r="D7" t="s">
        <v>260</v>
      </c>
      <c r="E7" t="s">
        <v>261</v>
      </c>
      <c r="F7" t="s">
        <v>270</v>
      </c>
      <c r="G7" t="s">
        <v>263</v>
      </c>
      <c r="H7">
        <v>85055.796345281007</v>
      </c>
      <c r="I7" t="s">
        <v>264</v>
      </c>
      <c r="J7" t="s">
        <v>265</v>
      </c>
      <c r="K7">
        <v>308702</v>
      </c>
      <c r="L7" t="s">
        <v>266</v>
      </c>
      <c r="M7">
        <v>0.28000000000000003</v>
      </c>
    </row>
    <row r="8" spans="1:13" x14ac:dyDescent="0.25">
      <c r="A8">
        <v>2002</v>
      </c>
      <c r="B8" t="s">
        <v>259</v>
      </c>
      <c r="C8">
        <v>27003</v>
      </c>
      <c r="D8" t="s">
        <v>260</v>
      </c>
      <c r="E8" t="s">
        <v>261</v>
      </c>
      <c r="F8" t="s">
        <v>270</v>
      </c>
      <c r="G8" t="s">
        <v>267</v>
      </c>
      <c r="H8">
        <v>267827.84340003098</v>
      </c>
      <c r="I8" t="s">
        <v>264</v>
      </c>
      <c r="J8" t="s">
        <v>265</v>
      </c>
      <c r="K8">
        <v>308702</v>
      </c>
      <c r="L8" t="s">
        <v>266</v>
      </c>
      <c r="M8">
        <v>0.87</v>
      </c>
    </row>
    <row r="9" spans="1:13" x14ac:dyDescent="0.25">
      <c r="A9">
        <v>2002</v>
      </c>
      <c r="B9" t="s">
        <v>259</v>
      </c>
      <c r="C9">
        <v>27003</v>
      </c>
      <c r="D9" t="s">
        <v>260</v>
      </c>
      <c r="E9" t="s">
        <v>261</v>
      </c>
      <c r="F9" t="s">
        <v>270</v>
      </c>
      <c r="G9" t="s">
        <v>269</v>
      </c>
      <c r="H9">
        <v>1.85446180764104</v>
      </c>
      <c r="I9" t="s">
        <v>264</v>
      </c>
      <c r="J9" t="s">
        <v>265</v>
      </c>
      <c r="K9">
        <v>308702</v>
      </c>
      <c r="L9" t="s">
        <v>266</v>
      </c>
      <c r="M9">
        <v>0</v>
      </c>
    </row>
    <row r="10" spans="1:13" x14ac:dyDescent="0.25">
      <c r="A10">
        <v>2002</v>
      </c>
      <c r="B10" t="s">
        <v>259</v>
      </c>
      <c r="C10">
        <v>27019</v>
      </c>
      <c r="D10" t="s">
        <v>271</v>
      </c>
      <c r="E10" t="s">
        <v>261</v>
      </c>
      <c r="F10" t="s">
        <v>262</v>
      </c>
      <c r="G10" t="s">
        <v>263</v>
      </c>
      <c r="H10">
        <v>309037.534001405</v>
      </c>
      <c r="I10" t="s">
        <v>264</v>
      </c>
      <c r="J10" t="s">
        <v>265</v>
      </c>
      <c r="K10">
        <v>75393</v>
      </c>
      <c r="L10" t="s">
        <v>266</v>
      </c>
      <c r="M10">
        <v>4.0999999999999996</v>
      </c>
    </row>
    <row r="11" spans="1:13" x14ac:dyDescent="0.25">
      <c r="A11">
        <v>2002</v>
      </c>
      <c r="B11" t="s">
        <v>259</v>
      </c>
      <c r="C11">
        <v>27019</v>
      </c>
      <c r="D11" t="s">
        <v>271</v>
      </c>
      <c r="E11" t="s">
        <v>261</v>
      </c>
      <c r="F11" t="s">
        <v>262</v>
      </c>
      <c r="G11" t="s">
        <v>267</v>
      </c>
      <c r="H11">
        <v>13400.474361106501</v>
      </c>
      <c r="I11" t="s">
        <v>264</v>
      </c>
      <c r="J11" t="s">
        <v>265</v>
      </c>
      <c r="K11">
        <v>75393</v>
      </c>
      <c r="L11" t="s">
        <v>266</v>
      </c>
      <c r="M11">
        <v>0.18</v>
      </c>
    </row>
    <row r="12" spans="1:13" x14ac:dyDescent="0.25">
      <c r="A12">
        <v>2002</v>
      </c>
      <c r="B12" t="s">
        <v>259</v>
      </c>
      <c r="C12">
        <v>27019</v>
      </c>
      <c r="D12" t="s">
        <v>271</v>
      </c>
      <c r="E12" t="s">
        <v>261</v>
      </c>
      <c r="F12" t="s">
        <v>268</v>
      </c>
      <c r="G12" t="s">
        <v>263</v>
      </c>
      <c r="H12">
        <v>229.50852631815499</v>
      </c>
      <c r="I12" t="s">
        <v>264</v>
      </c>
      <c r="J12" t="s">
        <v>265</v>
      </c>
      <c r="K12">
        <v>75393</v>
      </c>
      <c r="L12" t="s">
        <v>266</v>
      </c>
      <c r="M12">
        <v>0</v>
      </c>
    </row>
    <row r="13" spans="1:13" x14ac:dyDescent="0.25">
      <c r="A13">
        <v>2002</v>
      </c>
      <c r="B13" t="s">
        <v>259</v>
      </c>
      <c r="C13">
        <v>27019</v>
      </c>
      <c r="D13" t="s">
        <v>271</v>
      </c>
      <c r="E13" t="s">
        <v>261</v>
      </c>
      <c r="F13" t="s">
        <v>268</v>
      </c>
      <c r="G13" t="s">
        <v>267</v>
      </c>
      <c r="H13">
        <v>3802.7077988384399</v>
      </c>
      <c r="I13" t="s">
        <v>264</v>
      </c>
      <c r="J13" t="s">
        <v>265</v>
      </c>
      <c r="K13">
        <v>75393</v>
      </c>
      <c r="L13" t="s">
        <v>266</v>
      </c>
      <c r="M13">
        <v>0.05</v>
      </c>
    </row>
    <row r="14" spans="1:13" x14ac:dyDescent="0.25">
      <c r="A14">
        <v>2002</v>
      </c>
      <c r="B14" t="s">
        <v>259</v>
      </c>
      <c r="C14">
        <v>27019</v>
      </c>
      <c r="D14" t="s">
        <v>271</v>
      </c>
      <c r="E14" t="s">
        <v>261</v>
      </c>
      <c r="F14" t="s">
        <v>268</v>
      </c>
      <c r="G14" t="s">
        <v>269</v>
      </c>
      <c r="H14">
        <v>121.44969350447199</v>
      </c>
      <c r="I14" t="s">
        <v>264</v>
      </c>
      <c r="J14" t="s">
        <v>265</v>
      </c>
      <c r="K14">
        <v>75393</v>
      </c>
      <c r="L14" t="s">
        <v>266</v>
      </c>
      <c r="M14">
        <v>0</v>
      </c>
    </row>
    <row r="15" spans="1:13" x14ac:dyDescent="0.25">
      <c r="A15">
        <v>2002</v>
      </c>
      <c r="B15" t="s">
        <v>259</v>
      </c>
      <c r="C15">
        <v>27019</v>
      </c>
      <c r="D15" t="s">
        <v>271</v>
      </c>
      <c r="E15" t="s">
        <v>261</v>
      </c>
      <c r="F15" t="s">
        <v>270</v>
      </c>
      <c r="G15" t="s">
        <v>263</v>
      </c>
      <c r="H15">
        <v>17780.3896053879</v>
      </c>
      <c r="I15" t="s">
        <v>264</v>
      </c>
      <c r="J15" t="s">
        <v>265</v>
      </c>
      <c r="K15">
        <v>75393</v>
      </c>
      <c r="L15" t="s">
        <v>266</v>
      </c>
      <c r="M15">
        <v>0.24</v>
      </c>
    </row>
    <row r="16" spans="1:13" x14ac:dyDescent="0.25">
      <c r="A16">
        <v>2002</v>
      </c>
      <c r="B16" t="s">
        <v>259</v>
      </c>
      <c r="C16">
        <v>27019</v>
      </c>
      <c r="D16" t="s">
        <v>271</v>
      </c>
      <c r="E16" t="s">
        <v>261</v>
      </c>
      <c r="F16" t="s">
        <v>270</v>
      </c>
      <c r="G16" t="s">
        <v>267</v>
      </c>
      <c r="H16">
        <v>81985.976181005695</v>
      </c>
      <c r="I16" t="s">
        <v>264</v>
      </c>
      <c r="J16" t="s">
        <v>265</v>
      </c>
      <c r="K16">
        <v>75393</v>
      </c>
      <c r="L16" t="s">
        <v>266</v>
      </c>
      <c r="M16">
        <v>1.0900000000000001</v>
      </c>
    </row>
    <row r="17" spans="1:13" x14ac:dyDescent="0.25">
      <c r="A17">
        <v>2002</v>
      </c>
      <c r="B17" t="s">
        <v>259</v>
      </c>
      <c r="C17">
        <v>27019</v>
      </c>
      <c r="D17" t="s">
        <v>271</v>
      </c>
      <c r="E17" t="s">
        <v>261</v>
      </c>
      <c r="F17" t="s">
        <v>270</v>
      </c>
      <c r="G17" t="s">
        <v>269</v>
      </c>
      <c r="H17">
        <v>0.81250985873394099</v>
      </c>
      <c r="I17" t="s">
        <v>264</v>
      </c>
      <c r="J17" t="s">
        <v>265</v>
      </c>
      <c r="K17">
        <v>75393</v>
      </c>
      <c r="L17" t="s">
        <v>266</v>
      </c>
      <c r="M17">
        <v>0</v>
      </c>
    </row>
    <row r="18" spans="1:13" x14ac:dyDescent="0.25">
      <c r="A18">
        <v>2002</v>
      </c>
      <c r="B18" t="s">
        <v>259</v>
      </c>
      <c r="C18">
        <v>27025</v>
      </c>
      <c r="D18" t="s">
        <v>272</v>
      </c>
      <c r="E18" t="s">
        <v>261</v>
      </c>
      <c r="F18" t="s">
        <v>262</v>
      </c>
      <c r="G18" t="s">
        <v>263</v>
      </c>
      <c r="H18">
        <v>286490.46478301601</v>
      </c>
      <c r="I18" t="s">
        <v>264</v>
      </c>
      <c r="J18" t="s">
        <v>265</v>
      </c>
      <c r="K18">
        <v>45375</v>
      </c>
      <c r="L18" t="s">
        <v>266</v>
      </c>
      <c r="M18">
        <v>6.31</v>
      </c>
    </row>
    <row r="19" spans="1:13" x14ac:dyDescent="0.25">
      <c r="A19">
        <v>2002</v>
      </c>
      <c r="B19" t="s">
        <v>259</v>
      </c>
      <c r="C19">
        <v>27025</v>
      </c>
      <c r="D19" t="s">
        <v>272</v>
      </c>
      <c r="E19" t="s">
        <v>261</v>
      </c>
      <c r="F19" t="s">
        <v>262</v>
      </c>
      <c r="G19" t="s">
        <v>267</v>
      </c>
      <c r="H19">
        <v>15223.986336788201</v>
      </c>
      <c r="I19" t="s">
        <v>264</v>
      </c>
      <c r="J19" t="s">
        <v>265</v>
      </c>
      <c r="K19">
        <v>45375</v>
      </c>
      <c r="L19" t="s">
        <v>266</v>
      </c>
      <c r="M19">
        <v>0.34</v>
      </c>
    </row>
    <row r="20" spans="1:13" x14ac:dyDescent="0.25">
      <c r="A20">
        <v>2002</v>
      </c>
      <c r="B20" t="s">
        <v>259</v>
      </c>
      <c r="C20">
        <v>27025</v>
      </c>
      <c r="D20" t="s">
        <v>272</v>
      </c>
      <c r="E20" t="s">
        <v>261</v>
      </c>
      <c r="F20" t="s">
        <v>268</v>
      </c>
      <c r="G20" t="s">
        <v>263</v>
      </c>
      <c r="H20">
        <v>665.74630352115503</v>
      </c>
      <c r="I20" t="s">
        <v>264</v>
      </c>
      <c r="J20" t="s">
        <v>265</v>
      </c>
      <c r="K20">
        <v>45375</v>
      </c>
      <c r="L20" t="s">
        <v>266</v>
      </c>
      <c r="M20">
        <v>0.01</v>
      </c>
    </row>
    <row r="21" spans="1:13" x14ac:dyDescent="0.25">
      <c r="A21">
        <v>2002</v>
      </c>
      <c r="B21" t="s">
        <v>259</v>
      </c>
      <c r="C21">
        <v>27025</v>
      </c>
      <c r="D21" t="s">
        <v>272</v>
      </c>
      <c r="E21" t="s">
        <v>261</v>
      </c>
      <c r="F21" t="s">
        <v>268</v>
      </c>
      <c r="G21" t="s">
        <v>267</v>
      </c>
      <c r="H21">
        <v>3027.0980716888298</v>
      </c>
      <c r="I21" t="s">
        <v>264</v>
      </c>
      <c r="J21" t="s">
        <v>265</v>
      </c>
      <c r="K21">
        <v>45375</v>
      </c>
      <c r="L21" t="s">
        <v>266</v>
      </c>
      <c r="M21">
        <v>7.0000000000000007E-2</v>
      </c>
    </row>
    <row r="22" spans="1:13" x14ac:dyDescent="0.25">
      <c r="A22">
        <v>2002</v>
      </c>
      <c r="B22" t="s">
        <v>259</v>
      </c>
      <c r="C22">
        <v>27025</v>
      </c>
      <c r="D22" t="s">
        <v>272</v>
      </c>
      <c r="E22" t="s">
        <v>261</v>
      </c>
      <c r="F22" t="s">
        <v>268</v>
      </c>
      <c r="G22" t="s">
        <v>269</v>
      </c>
      <c r="H22">
        <v>51.148312689442598</v>
      </c>
      <c r="I22" t="s">
        <v>264</v>
      </c>
      <c r="J22" t="s">
        <v>265</v>
      </c>
      <c r="K22">
        <v>45375</v>
      </c>
      <c r="L22" t="s">
        <v>266</v>
      </c>
      <c r="M22">
        <v>0</v>
      </c>
    </row>
    <row r="23" spans="1:13" x14ac:dyDescent="0.25">
      <c r="A23">
        <v>2002</v>
      </c>
      <c r="B23" t="s">
        <v>259</v>
      </c>
      <c r="C23">
        <v>27025</v>
      </c>
      <c r="D23" t="s">
        <v>272</v>
      </c>
      <c r="E23" t="s">
        <v>261</v>
      </c>
      <c r="F23" t="s">
        <v>270</v>
      </c>
      <c r="G23" t="s">
        <v>263</v>
      </c>
      <c r="H23">
        <v>15231.261061752401</v>
      </c>
      <c r="I23" t="s">
        <v>264</v>
      </c>
      <c r="J23" t="s">
        <v>265</v>
      </c>
      <c r="K23">
        <v>45375</v>
      </c>
      <c r="L23" t="s">
        <v>266</v>
      </c>
      <c r="M23">
        <v>0.34</v>
      </c>
    </row>
    <row r="24" spans="1:13" x14ac:dyDescent="0.25">
      <c r="A24">
        <v>2002</v>
      </c>
      <c r="B24" t="s">
        <v>259</v>
      </c>
      <c r="C24">
        <v>27025</v>
      </c>
      <c r="D24" t="s">
        <v>272</v>
      </c>
      <c r="E24" t="s">
        <v>261</v>
      </c>
      <c r="F24" t="s">
        <v>270</v>
      </c>
      <c r="G24" t="s">
        <v>267</v>
      </c>
      <c r="H24">
        <v>72905.3531121868</v>
      </c>
      <c r="I24" t="s">
        <v>264</v>
      </c>
      <c r="J24" t="s">
        <v>265</v>
      </c>
      <c r="K24">
        <v>45375</v>
      </c>
      <c r="L24" t="s">
        <v>266</v>
      </c>
      <c r="M24">
        <v>1.61</v>
      </c>
    </row>
    <row r="25" spans="1:13" x14ac:dyDescent="0.25">
      <c r="A25">
        <v>2002</v>
      </c>
      <c r="B25" t="s">
        <v>259</v>
      </c>
      <c r="C25">
        <v>27025</v>
      </c>
      <c r="D25" t="s">
        <v>272</v>
      </c>
      <c r="E25" t="s">
        <v>261</v>
      </c>
      <c r="F25" t="s">
        <v>270</v>
      </c>
      <c r="G25" t="s">
        <v>269</v>
      </c>
      <c r="H25">
        <v>0.436067384400605</v>
      </c>
      <c r="I25" t="s">
        <v>264</v>
      </c>
      <c r="J25" t="s">
        <v>265</v>
      </c>
      <c r="K25">
        <v>45375</v>
      </c>
      <c r="L25" t="s">
        <v>266</v>
      </c>
      <c r="M25">
        <v>0</v>
      </c>
    </row>
    <row r="26" spans="1:13" x14ac:dyDescent="0.25">
      <c r="A26">
        <v>2002</v>
      </c>
      <c r="B26" t="s">
        <v>259</v>
      </c>
      <c r="C26">
        <v>27037</v>
      </c>
      <c r="D26" t="s">
        <v>273</v>
      </c>
      <c r="E26" t="s">
        <v>261</v>
      </c>
      <c r="F26" t="s">
        <v>262</v>
      </c>
      <c r="G26" t="s">
        <v>263</v>
      </c>
      <c r="H26">
        <v>1321687.2555513801</v>
      </c>
      <c r="I26" t="s">
        <v>264</v>
      </c>
      <c r="J26" t="s">
        <v>265</v>
      </c>
      <c r="K26">
        <v>368252</v>
      </c>
      <c r="L26" t="s">
        <v>266</v>
      </c>
      <c r="M26">
        <v>3.59</v>
      </c>
    </row>
    <row r="27" spans="1:13" x14ac:dyDescent="0.25">
      <c r="A27">
        <v>2002</v>
      </c>
      <c r="B27" t="s">
        <v>259</v>
      </c>
      <c r="C27">
        <v>27037</v>
      </c>
      <c r="D27" t="s">
        <v>273</v>
      </c>
      <c r="E27" t="s">
        <v>261</v>
      </c>
      <c r="F27" t="s">
        <v>262</v>
      </c>
      <c r="G27" t="s">
        <v>267</v>
      </c>
      <c r="H27">
        <v>32831.412918779803</v>
      </c>
      <c r="I27" t="s">
        <v>264</v>
      </c>
      <c r="J27" t="s">
        <v>265</v>
      </c>
      <c r="K27">
        <v>368252</v>
      </c>
      <c r="L27" t="s">
        <v>266</v>
      </c>
      <c r="M27">
        <v>0.09</v>
      </c>
    </row>
    <row r="28" spans="1:13" x14ac:dyDescent="0.25">
      <c r="A28">
        <v>2002</v>
      </c>
      <c r="B28" t="s">
        <v>259</v>
      </c>
      <c r="C28">
        <v>27037</v>
      </c>
      <c r="D28" t="s">
        <v>273</v>
      </c>
      <c r="E28" t="s">
        <v>261</v>
      </c>
      <c r="F28" t="s">
        <v>262</v>
      </c>
      <c r="G28" t="s">
        <v>269</v>
      </c>
      <c r="H28">
        <v>0</v>
      </c>
      <c r="I28" t="s">
        <v>264</v>
      </c>
      <c r="J28" t="s">
        <v>265</v>
      </c>
      <c r="K28">
        <v>368252</v>
      </c>
      <c r="L28" t="s">
        <v>266</v>
      </c>
      <c r="M28">
        <v>0</v>
      </c>
    </row>
    <row r="29" spans="1:13" x14ac:dyDescent="0.25">
      <c r="A29">
        <v>2002</v>
      </c>
      <c r="B29" t="s">
        <v>259</v>
      </c>
      <c r="C29">
        <v>27037</v>
      </c>
      <c r="D29" t="s">
        <v>273</v>
      </c>
      <c r="E29" t="s">
        <v>261</v>
      </c>
      <c r="F29" t="s">
        <v>268</v>
      </c>
      <c r="G29" t="s">
        <v>263</v>
      </c>
      <c r="H29">
        <v>1032.26556865463</v>
      </c>
      <c r="I29" t="s">
        <v>264</v>
      </c>
      <c r="J29" t="s">
        <v>265</v>
      </c>
      <c r="K29">
        <v>368252</v>
      </c>
      <c r="L29" t="s">
        <v>266</v>
      </c>
      <c r="M29">
        <v>0</v>
      </c>
    </row>
    <row r="30" spans="1:13" x14ac:dyDescent="0.25">
      <c r="A30">
        <v>2002</v>
      </c>
      <c r="B30" t="s">
        <v>259</v>
      </c>
      <c r="C30">
        <v>27037</v>
      </c>
      <c r="D30" t="s">
        <v>273</v>
      </c>
      <c r="E30" t="s">
        <v>261</v>
      </c>
      <c r="F30" t="s">
        <v>268</v>
      </c>
      <c r="G30" t="s">
        <v>267</v>
      </c>
      <c r="H30">
        <v>16734.359781295301</v>
      </c>
      <c r="I30" t="s">
        <v>264</v>
      </c>
      <c r="J30" t="s">
        <v>265</v>
      </c>
      <c r="K30">
        <v>368252</v>
      </c>
      <c r="L30" t="s">
        <v>266</v>
      </c>
      <c r="M30">
        <v>0.05</v>
      </c>
    </row>
    <row r="31" spans="1:13" x14ac:dyDescent="0.25">
      <c r="A31">
        <v>2002</v>
      </c>
      <c r="B31" t="s">
        <v>259</v>
      </c>
      <c r="C31">
        <v>27037</v>
      </c>
      <c r="D31" t="s">
        <v>273</v>
      </c>
      <c r="E31" t="s">
        <v>261</v>
      </c>
      <c r="F31" t="s">
        <v>268</v>
      </c>
      <c r="G31" t="s">
        <v>269</v>
      </c>
      <c r="H31">
        <v>36.803307980128999</v>
      </c>
      <c r="I31" t="s">
        <v>264</v>
      </c>
      <c r="J31" t="s">
        <v>265</v>
      </c>
      <c r="K31">
        <v>368252</v>
      </c>
      <c r="L31" t="s">
        <v>266</v>
      </c>
      <c r="M31">
        <v>0</v>
      </c>
    </row>
    <row r="32" spans="1:13" x14ac:dyDescent="0.25">
      <c r="A32">
        <v>2002</v>
      </c>
      <c r="B32" t="s">
        <v>259</v>
      </c>
      <c r="C32">
        <v>27037</v>
      </c>
      <c r="D32" t="s">
        <v>273</v>
      </c>
      <c r="E32" t="s">
        <v>261</v>
      </c>
      <c r="F32" t="s">
        <v>270</v>
      </c>
      <c r="G32" t="s">
        <v>263</v>
      </c>
      <c r="H32">
        <v>81187.7251799675</v>
      </c>
      <c r="I32" t="s">
        <v>264</v>
      </c>
      <c r="J32" t="s">
        <v>265</v>
      </c>
      <c r="K32">
        <v>368252</v>
      </c>
      <c r="L32" t="s">
        <v>266</v>
      </c>
      <c r="M32">
        <v>0.22</v>
      </c>
    </row>
    <row r="33" spans="1:13" x14ac:dyDescent="0.25">
      <c r="A33">
        <v>2002</v>
      </c>
      <c r="B33" t="s">
        <v>259</v>
      </c>
      <c r="C33">
        <v>27037</v>
      </c>
      <c r="D33" t="s">
        <v>273</v>
      </c>
      <c r="E33" t="s">
        <v>261</v>
      </c>
      <c r="F33" t="s">
        <v>270</v>
      </c>
      <c r="G33" t="s">
        <v>267</v>
      </c>
      <c r="H33">
        <v>364405.26756996498</v>
      </c>
      <c r="I33" t="s">
        <v>264</v>
      </c>
      <c r="J33" t="s">
        <v>265</v>
      </c>
      <c r="K33">
        <v>368252</v>
      </c>
      <c r="L33" t="s">
        <v>266</v>
      </c>
      <c r="M33">
        <v>0.99</v>
      </c>
    </row>
    <row r="34" spans="1:13" x14ac:dyDescent="0.25">
      <c r="A34">
        <v>2002</v>
      </c>
      <c r="B34" t="s">
        <v>259</v>
      </c>
      <c r="C34">
        <v>27037</v>
      </c>
      <c r="D34" t="s">
        <v>273</v>
      </c>
      <c r="E34" t="s">
        <v>261</v>
      </c>
      <c r="F34" t="s">
        <v>270</v>
      </c>
      <c r="G34" t="s">
        <v>269</v>
      </c>
      <c r="H34">
        <v>2.1966082008897101</v>
      </c>
      <c r="I34" t="s">
        <v>264</v>
      </c>
      <c r="J34" t="s">
        <v>265</v>
      </c>
      <c r="K34">
        <v>368252</v>
      </c>
      <c r="L34" t="s">
        <v>266</v>
      </c>
      <c r="M34">
        <v>0</v>
      </c>
    </row>
    <row r="35" spans="1:13" x14ac:dyDescent="0.25">
      <c r="A35">
        <v>2002</v>
      </c>
      <c r="B35" t="s">
        <v>259</v>
      </c>
      <c r="C35">
        <v>27053</v>
      </c>
      <c r="D35" t="s">
        <v>274</v>
      </c>
      <c r="E35" t="s">
        <v>261</v>
      </c>
      <c r="F35" t="s">
        <v>262</v>
      </c>
      <c r="G35" t="s">
        <v>263</v>
      </c>
      <c r="H35">
        <v>3491967.9137044302</v>
      </c>
      <c r="I35" t="s">
        <v>264</v>
      </c>
      <c r="J35" t="s">
        <v>265</v>
      </c>
      <c r="K35">
        <v>1120730</v>
      </c>
      <c r="L35" t="s">
        <v>266</v>
      </c>
      <c r="M35">
        <v>3.12</v>
      </c>
    </row>
    <row r="36" spans="1:13" x14ac:dyDescent="0.25">
      <c r="A36">
        <v>2002</v>
      </c>
      <c r="B36" t="s">
        <v>259</v>
      </c>
      <c r="C36">
        <v>27053</v>
      </c>
      <c r="D36" t="s">
        <v>274</v>
      </c>
      <c r="E36" t="s">
        <v>261</v>
      </c>
      <c r="F36" t="s">
        <v>262</v>
      </c>
      <c r="G36" t="s">
        <v>267</v>
      </c>
      <c r="H36">
        <v>64361.4876611445</v>
      </c>
      <c r="I36" t="s">
        <v>264</v>
      </c>
      <c r="J36" t="s">
        <v>265</v>
      </c>
      <c r="K36">
        <v>1120730</v>
      </c>
      <c r="L36" t="s">
        <v>266</v>
      </c>
      <c r="M36">
        <v>0.06</v>
      </c>
    </row>
    <row r="37" spans="1:13" x14ac:dyDescent="0.25">
      <c r="A37">
        <v>2002</v>
      </c>
      <c r="B37" t="s">
        <v>259</v>
      </c>
      <c r="C37">
        <v>27053</v>
      </c>
      <c r="D37" t="s">
        <v>274</v>
      </c>
      <c r="E37" t="s">
        <v>261</v>
      </c>
      <c r="F37" t="s">
        <v>262</v>
      </c>
      <c r="G37" t="s">
        <v>269</v>
      </c>
      <c r="H37">
        <v>0</v>
      </c>
      <c r="I37" t="s">
        <v>264</v>
      </c>
      <c r="J37" t="s">
        <v>265</v>
      </c>
      <c r="K37">
        <v>1120730</v>
      </c>
      <c r="L37" t="s">
        <v>266</v>
      </c>
      <c r="M37">
        <v>0</v>
      </c>
    </row>
    <row r="38" spans="1:13" x14ac:dyDescent="0.25">
      <c r="A38">
        <v>2002</v>
      </c>
      <c r="B38" t="s">
        <v>259</v>
      </c>
      <c r="C38">
        <v>27053</v>
      </c>
      <c r="D38" t="s">
        <v>274</v>
      </c>
      <c r="E38" t="s">
        <v>261</v>
      </c>
      <c r="F38" t="s">
        <v>268</v>
      </c>
      <c r="G38" t="s">
        <v>263</v>
      </c>
      <c r="H38">
        <v>3400.0292142787898</v>
      </c>
      <c r="I38" t="s">
        <v>264</v>
      </c>
      <c r="J38" t="s">
        <v>265</v>
      </c>
      <c r="K38">
        <v>1120730</v>
      </c>
      <c r="L38" t="s">
        <v>266</v>
      </c>
      <c r="M38">
        <v>0</v>
      </c>
    </row>
    <row r="39" spans="1:13" x14ac:dyDescent="0.25">
      <c r="A39">
        <v>2002</v>
      </c>
      <c r="B39" t="s">
        <v>259</v>
      </c>
      <c r="C39">
        <v>27053</v>
      </c>
      <c r="D39" t="s">
        <v>274</v>
      </c>
      <c r="E39" t="s">
        <v>261</v>
      </c>
      <c r="F39" t="s">
        <v>268</v>
      </c>
      <c r="G39" t="s">
        <v>267</v>
      </c>
      <c r="H39">
        <v>46863.525853943996</v>
      </c>
      <c r="I39" t="s">
        <v>264</v>
      </c>
      <c r="J39" t="s">
        <v>265</v>
      </c>
      <c r="K39">
        <v>1120730</v>
      </c>
      <c r="L39" t="s">
        <v>266</v>
      </c>
      <c r="M39">
        <v>0.04</v>
      </c>
    </row>
    <row r="40" spans="1:13" x14ac:dyDescent="0.25">
      <c r="A40">
        <v>2002</v>
      </c>
      <c r="B40" t="s">
        <v>259</v>
      </c>
      <c r="C40">
        <v>27053</v>
      </c>
      <c r="D40" t="s">
        <v>274</v>
      </c>
      <c r="E40" t="s">
        <v>261</v>
      </c>
      <c r="F40" t="s">
        <v>268</v>
      </c>
      <c r="G40" t="s">
        <v>269</v>
      </c>
      <c r="H40">
        <v>34.003587034625902</v>
      </c>
      <c r="I40" t="s">
        <v>264</v>
      </c>
      <c r="J40" t="s">
        <v>265</v>
      </c>
      <c r="K40">
        <v>1120730</v>
      </c>
      <c r="L40" t="s">
        <v>266</v>
      </c>
      <c r="M40">
        <v>0</v>
      </c>
    </row>
    <row r="41" spans="1:13" x14ac:dyDescent="0.25">
      <c r="A41">
        <v>2002</v>
      </c>
      <c r="B41" t="s">
        <v>259</v>
      </c>
      <c r="C41">
        <v>27053</v>
      </c>
      <c r="D41" t="s">
        <v>274</v>
      </c>
      <c r="E41" t="s">
        <v>261</v>
      </c>
      <c r="F41" t="s">
        <v>270</v>
      </c>
      <c r="G41" t="s">
        <v>263</v>
      </c>
      <c r="H41">
        <v>334033.56369137397</v>
      </c>
      <c r="I41" t="s">
        <v>264</v>
      </c>
      <c r="J41" t="s">
        <v>265</v>
      </c>
      <c r="K41">
        <v>1120730</v>
      </c>
      <c r="L41" t="s">
        <v>266</v>
      </c>
      <c r="M41">
        <v>0.3</v>
      </c>
    </row>
    <row r="42" spans="1:13" x14ac:dyDescent="0.25">
      <c r="A42">
        <v>2002</v>
      </c>
      <c r="B42" t="s">
        <v>259</v>
      </c>
      <c r="C42">
        <v>27053</v>
      </c>
      <c r="D42" t="s">
        <v>274</v>
      </c>
      <c r="E42" t="s">
        <v>261</v>
      </c>
      <c r="F42" t="s">
        <v>270</v>
      </c>
      <c r="G42" t="s">
        <v>267</v>
      </c>
      <c r="H42">
        <v>934675.60296300298</v>
      </c>
      <c r="I42" t="s">
        <v>264</v>
      </c>
      <c r="J42" t="s">
        <v>265</v>
      </c>
      <c r="K42">
        <v>1120730</v>
      </c>
      <c r="L42" t="s">
        <v>266</v>
      </c>
      <c r="M42">
        <v>0.83</v>
      </c>
    </row>
    <row r="43" spans="1:13" x14ac:dyDescent="0.25">
      <c r="A43">
        <v>2002</v>
      </c>
      <c r="B43" t="s">
        <v>259</v>
      </c>
      <c r="C43">
        <v>27053</v>
      </c>
      <c r="D43" t="s">
        <v>274</v>
      </c>
      <c r="E43" t="s">
        <v>261</v>
      </c>
      <c r="F43" t="s">
        <v>270</v>
      </c>
      <c r="G43" t="s">
        <v>269</v>
      </c>
      <c r="H43">
        <v>5.9631414754492003</v>
      </c>
      <c r="I43" t="s">
        <v>264</v>
      </c>
      <c r="J43" t="s">
        <v>265</v>
      </c>
      <c r="K43">
        <v>1120730</v>
      </c>
      <c r="L43" t="s">
        <v>266</v>
      </c>
      <c r="M43">
        <v>0</v>
      </c>
    </row>
    <row r="44" spans="1:13" x14ac:dyDescent="0.25">
      <c r="A44">
        <v>2002</v>
      </c>
      <c r="B44" t="s">
        <v>259</v>
      </c>
      <c r="C44">
        <v>27123</v>
      </c>
      <c r="D44" t="s">
        <v>275</v>
      </c>
      <c r="E44" t="s">
        <v>261</v>
      </c>
      <c r="F44" t="s">
        <v>262</v>
      </c>
      <c r="G44" t="s">
        <v>263</v>
      </c>
      <c r="H44">
        <v>1473208.45158511</v>
      </c>
      <c r="I44" t="s">
        <v>264</v>
      </c>
      <c r="J44" t="s">
        <v>265</v>
      </c>
      <c r="K44">
        <v>510581</v>
      </c>
      <c r="L44" t="s">
        <v>266</v>
      </c>
      <c r="M44">
        <v>2.89</v>
      </c>
    </row>
    <row r="45" spans="1:13" x14ac:dyDescent="0.25">
      <c r="A45">
        <v>2002</v>
      </c>
      <c r="B45" t="s">
        <v>259</v>
      </c>
      <c r="C45">
        <v>27123</v>
      </c>
      <c r="D45" t="s">
        <v>275</v>
      </c>
      <c r="E45" t="s">
        <v>261</v>
      </c>
      <c r="F45" t="s">
        <v>262</v>
      </c>
      <c r="G45" t="s">
        <v>267</v>
      </c>
      <c r="H45">
        <v>22509.004198816499</v>
      </c>
      <c r="I45" t="s">
        <v>264</v>
      </c>
      <c r="J45" t="s">
        <v>265</v>
      </c>
      <c r="K45">
        <v>510581</v>
      </c>
      <c r="L45" t="s">
        <v>266</v>
      </c>
      <c r="M45">
        <v>0.04</v>
      </c>
    </row>
    <row r="46" spans="1:13" x14ac:dyDescent="0.25">
      <c r="A46">
        <v>2002</v>
      </c>
      <c r="B46" t="s">
        <v>259</v>
      </c>
      <c r="C46">
        <v>27123</v>
      </c>
      <c r="D46" t="s">
        <v>275</v>
      </c>
      <c r="E46" t="s">
        <v>261</v>
      </c>
      <c r="F46" t="s">
        <v>262</v>
      </c>
      <c r="G46" t="s">
        <v>269</v>
      </c>
      <c r="H46">
        <v>0</v>
      </c>
      <c r="I46" t="s">
        <v>264</v>
      </c>
      <c r="J46" t="s">
        <v>265</v>
      </c>
      <c r="K46">
        <v>510581</v>
      </c>
      <c r="L46" t="s">
        <v>266</v>
      </c>
      <c r="M46">
        <v>0</v>
      </c>
    </row>
    <row r="47" spans="1:13" x14ac:dyDescent="0.25">
      <c r="A47">
        <v>2002</v>
      </c>
      <c r="B47" t="s">
        <v>259</v>
      </c>
      <c r="C47">
        <v>27123</v>
      </c>
      <c r="D47" t="s">
        <v>275</v>
      </c>
      <c r="E47" t="s">
        <v>261</v>
      </c>
      <c r="F47" t="s">
        <v>268</v>
      </c>
      <c r="G47" t="s">
        <v>263</v>
      </c>
      <c r="H47">
        <v>2337.56187822945</v>
      </c>
      <c r="I47" t="s">
        <v>264</v>
      </c>
      <c r="J47" t="s">
        <v>265</v>
      </c>
      <c r="K47">
        <v>510581</v>
      </c>
      <c r="L47" t="s">
        <v>266</v>
      </c>
      <c r="M47">
        <v>0</v>
      </c>
    </row>
    <row r="48" spans="1:13" x14ac:dyDescent="0.25">
      <c r="A48">
        <v>2002</v>
      </c>
      <c r="B48" t="s">
        <v>259</v>
      </c>
      <c r="C48">
        <v>27123</v>
      </c>
      <c r="D48" t="s">
        <v>275</v>
      </c>
      <c r="E48" t="s">
        <v>261</v>
      </c>
      <c r="F48" t="s">
        <v>268</v>
      </c>
      <c r="G48" t="s">
        <v>267</v>
      </c>
      <c r="H48">
        <v>17839.163505915301</v>
      </c>
      <c r="I48" t="s">
        <v>264</v>
      </c>
      <c r="J48" t="s">
        <v>265</v>
      </c>
      <c r="K48">
        <v>510581</v>
      </c>
      <c r="L48" t="s">
        <v>266</v>
      </c>
      <c r="M48">
        <v>0.03</v>
      </c>
    </row>
    <row r="49" spans="1:13" x14ac:dyDescent="0.25">
      <c r="A49">
        <v>2002</v>
      </c>
      <c r="B49" t="s">
        <v>259</v>
      </c>
      <c r="C49">
        <v>27123</v>
      </c>
      <c r="D49" t="s">
        <v>275</v>
      </c>
      <c r="E49" t="s">
        <v>261</v>
      </c>
      <c r="F49" t="s">
        <v>268</v>
      </c>
      <c r="G49" t="s">
        <v>269</v>
      </c>
      <c r="H49">
        <v>140.41732462923699</v>
      </c>
      <c r="I49" t="s">
        <v>264</v>
      </c>
      <c r="J49" t="s">
        <v>265</v>
      </c>
      <c r="K49">
        <v>510581</v>
      </c>
      <c r="L49" t="s">
        <v>266</v>
      </c>
      <c r="M49">
        <v>0</v>
      </c>
    </row>
    <row r="50" spans="1:13" x14ac:dyDescent="0.25">
      <c r="A50">
        <v>2002</v>
      </c>
      <c r="B50" t="s">
        <v>259</v>
      </c>
      <c r="C50">
        <v>27123</v>
      </c>
      <c r="D50" t="s">
        <v>275</v>
      </c>
      <c r="E50" t="s">
        <v>261</v>
      </c>
      <c r="F50" t="s">
        <v>270</v>
      </c>
      <c r="G50" t="s">
        <v>263</v>
      </c>
      <c r="H50">
        <v>138487.88374348599</v>
      </c>
      <c r="I50" t="s">
        <v>264</v>
      </c>
      <c r="J50" t="s">
        <v>265</v>
      </c>
      <c r="K50">
        <v>510581</v>
      </c>
      <c r="L50" t="s">
        <v>266</v>
      </c>
      <c r="M50">
        <v>0.27</v>
      </c>
    </row>
    <row r="51" spans="1:13" x14ac:dyDescent="0.25">
      <c r="A51">
        <v>2002</v>
      </c>
      <c r="B51" t="s">
        <v>259</v>
      </c>
      <c r="C51">
        <v>27123</v>
      </c>
      <c r="D51" t="s">
        <v>275</v>
      </c>
      <c r="E51" t="s">
        <v>261</v>
      </c>
      <c r="F51" t="s">
        <v>270</v>
      </c>
      <c r="G51" t="s">
        <v>267</v>
      </c>
      <c r="H51">
        <v>392698.51284479199</v>
      </c>
      <c r="I51" t="s">
        <v>264</v>
      </c>
      <c r="J51" t="s">
        <v>265</v>
      </c>
      <c r="K51">
        <v>510581</v>
      </c>
      <c r="L51" t="s">
        <v>266</v>
      </c>
      <c r="M51">
        <v>0.77</v>
      </c>
    </row>
    <row r="52" spans="1:13" x14ac:dyDescent="0.25">
      <c r="A52">
        <v>2002</v>
      </c>
      <c r="B52" t="s">
        <v>259</v>
      </c>
      <c r="C52">
        <v>27123</v>
      </c>
      <c r="D52" t="s">
        <v>275</v>
      </c>
      <c r="E52" t="s">
        <v>261</v>
      </c>
      <c r="F52" t="s">
        <v>270</v>
      </c>
      <c r="G52" t="s">
        <v>269</v>
      </c>
      <c r="H52">
        <v>2.94707000134632</v>
      </c>
      <c r="I52" t="s">
        <v>264</v>
      </c>
      <c r="J52" t="s">
        <v>265</v>
      </c>
      <c r="K52">
        <v>510581</v>
      </c>
      <c r="L52" t="s">
        <v>266</v>
      </c>
      <c r="M52">
        <v>0</v>
      </c>
    </row>
    <row r="53" spans="1:13" x14ac:dyDescent="0.25">
      <c r="A53">
        <v>2002</v>
      </c>
      <c r="B53" t="s">
        <v>259</v>
      </c>
      <c r="C53">
        <v>27139</v>
      </c>
      <c r="D53" t="s">
        <v>276</v>
      </c>
      <c r="E53" t="s">
        <v>261</v>
      </c>
      <c r="F53" t="s">
        <v>262</v>
      </c>
      <c r="G53" t="s">
        <v>263</v>
      </c>
      <c r="H53">
        <v>449927.86455281603</v>
      </c>
      <c r="I53" t="s">
        <v>264</v>
      </c>
      <c r="J53" t="s">
        <v>265</v>
      </c>
      <c r="K53">
        <v>102623</v>
      </c>
      <c r="L53" t="s">
        <v>266</v>
      </c>
      <c r="M53">
        <v>4.38</v>
      </c>
    </row>
    <row r="54" spans="1:13" x14ac:dyDescent="0.25">
      <c r="A54">
        <v>2002</v>
      </c>
      <c r="B54" t="s">
        <v>259</v>
      </c>
      <c r="C54">
        <v>27139</v>
      </c>
      <c r="D54" t="s">
        <v>276</v>
      </c>
      <c r="E54" t="s">
        <v>261</v>
      </c>
      <c r="F54" t="s">
        <v>262</v>
      </c>
      <c r="G54" t="s">
        <v>267</v>
      </c>
      <c r="H54">
        <v>20612.7643069777</v>
      </c>
      <c r="I54" t="s">
        <v>264</v>
      </c>
      <c r="J54" t="s">
        <v>265</v>
      </c>
      <c r="K54">
        <v>102623</v>
      </c>
      <c r="L54" t="s">
        <v>266</v>
      </c>
      <c r="M54">
        <v>0.2</v>
      </c>
    </row>
    <row r="55" spans="1:13" x14ac:dyDescent="0.25">
      <c r="A55">
        <v>2002</v>
      </c>
      <c r="B55" t="s">
        <v>259</v>
      </c>
      <c r="C55">
        <v>27139</v>
      </c>
      <c r="D55" t="s">
        <v>276</v>
      </c>
      <c r="E55" t="s">
        <v>261</v>
      </c>
      <c r="F55" t="s">
        <v>268</v>
      </c>
      <c r="G55" t="s">
        <v>263</v>
      </c>
      <c r="H55">
        <v>375.01509629632699</v>
      </c>
      <c r="I55" t="s">
        <v>264</v>
      </c>
      <c r="J55" t="s">
        <v>265</v>
      </c>
      <c r="K55">
        <v>102623</v>
      </c>
      <c r="L55" t="s">
        <v>266</v>
      </c>
      <c r="M55">
        <v>0</v>
      </c>
    </row>
    <row r="56" spans="1:13" x14ac:dyDescent="0.25">
      <c r="A56">
        <v>2002</v>
      </c>
      <c r="B56" t="s">
        <v>259</v>
      </c>
      <c r="C56">
        <v>27139</v>
      </c>
      <c r="D56" t="s">
        <v>276</v>
      </c>
      <c r="E56" t="s">
        <v>261</v>
      </c>
      <c r="F56" t="s">
        <v>268</v>
      </c>
      <c r="G56" t="s">
        <v>267</v>
      </c>
      <c r="H56">
        <v>5654.69433700437</v>
      </c>
      <c r="I56" t="s">
        <v>264</v>
      </c>
      <c r="J56" t="s">
        <v>265</v>
      </c>
      <c r="K56">
        <v>102623</v>
      </c>
      <c r="L56" t="s">
        <v>266</v>
      </c>
      <c r="M56">
        <v>0.06</v>
      </c>
    </row>
    <row r="57" spans="1:13" x14ac:dyDescent="0.25">
      <c r="A57">
        <v>2002</v>
      </c>
      <c r="B57" t="s">
        <v>259</v>
      </c>
      <c r="C57">
        <v>27139</v>
      </c>
      <c r="D57" t="s">
        <v>276</v>
      </c>
      <c r="E57" t="s">
        <v>261</v>
      </c>
      <c r="F57" t="s">
        <v>268</v>
      </c>
      <c r="G57" t="s">
        <v>269</v>
      </c>
      <c r="H57">
        <v>88.921933826952795</v>
      </c>
      <c r="I57" t="s">
        <v>264</v>
      </c>
      <c r="J57" t="s">
        <v>265</v>
      </c>
      <c r="K57">
        <v>102623</v>
      </c>
      <c r="L57" t="s">
        <v>266</v>
      </c>
      <c r="M57">
        <v>0</v>
      </c>
    </row>
    <row r="58" spans="1:13" x14ac:dyDescent="0.25">
      <c r="A58">
        <v>2002</v>
      </c>
      <c r="B58" t="s">
        <v>259</v>
      </c>
      <c r="C58">
        <v>27139</v>
      </c>
      <c r="D58" t="s">
        <v>276</v>
      </c>
      <c r="E58" t="s">
        <v>261</v>
      </c>
      <c r="F58" t="s">
        <v>270</v>
      </c>
      <c r="G58" t="s">
        <v>263</v>
      </c>
      <c r="H58">
        <v>29086.459864926299</v>
      </c>
      <c r="I58" t="s">
        <v>264</v>
      </c>
      <c r="J58" t="s">
        <v>265</v>
      </c>
      <c r="K58">
        <v>102623</v>
      </c>
      <c r="L58" t="s">
        <v>266</v>
      </c>
      <c r="M58">
        <v>0.28000000000000003</v>
      </c>
    </row>
    <row r="59" spans="1:13" x14ac:dyDescent="0.25">
      <c r="A59">
        <v>2002</v>
      </c>
      <c r="B59" t="s">
        <v>259</v>
      </c>
      <c r="C59">
        <v>27139</v>
      </c>
      <c r="D59" t="s">
        <v>276</v>
      </c>
      <c r="E59" t="s">
        <v>261</v>
      </c>
      <c r="F59" t="s">
        <v>270</v>
      </c>
      <c r="G59" t="s">
        <v>267</v>
      </c>
      <c r="H59">
        <v>119723.628193046</v>
      </c>
      <c r="I59" t="s">
        <v>264</v>
      </c>
      <c r="J59" t="s">
        <v>265</v>
      </c>
      <c r="K59">
        <v>102623</v>
      </c>
      <c r="L59" t="s">
        <v>266</v>
      </c>
      <c r="M59">
        <v>1.17</v>
      </c>
    </row>
    <row r="60" spans="1:13" x14ac:dyDescent="0.25">
      <c r="A60">
        <v>2002</v>
      </c>
      <c r="B60" t="s">
        <v>259</v>
      </c>
      <c r="C60">
        <v>27139</v>
      </c>
      <c r="D60" t="s">
        <v>276</v>
      </c>
      <c r="E60" t="s">
        <v>261</v>
      </c>
      <c r="F60" t="s">
        <v>270</v>
      </c>
      <c r="G60" t="s">
        <v>269</v>
      </c>
      <c r="H60">
        <v>0.66876101734981297</v>
      </c>
      <c r="I60" t="s">
        <v>264</v>
      </c>
      <c r="J60" t="s">
        <v>265</v>
      </c>
      <c r="K60">
        <v>102623</v>
      </c>
      <c r="L60" t="s">
        <v>266</v>
      </c>
      <c r="M60">
        <v>0</v>
      </c>
    </row>
    <row r="61" spans="1:13" x14ac:dyDescent="0.25">
      <c r="A61">
        <v>2002</v>
      </c>
      <c r="B61" t="s">
        <v>259</v>
      </c>
      <c r="C61">
        <v>27141</v>
      </c>
      <c r="D61" t="s">
        <v>277</v>
      </c>
      <c r="E61" t="s">
        <v>261</v>
      </c>
      <c r="F61" t="s">
        <v>262</v>
      </c>
      <c r="G61" t="s">
        <v>263</v>
      </c>
      <c r="H61">
        <v>308063.45008204703</v>
      </c>
      <c r="I61" t="s">
        <v>264</v>
      </c>
      <c r="J61" t="s">
        <v>265</v>
      </c>
      <c r="K61">
        <v>71867</v>
      </c>
      <c r="L61" t="s">
        <v>266</v>
      </c>
      <c r="M61">
        <v>4.29</v>
      </c>
    </row>
    <row r="62" spans="1:13" x14ac:dyDescent="0.25">
      <c r="A62">
        <v>2002</v>
      </c>
      <c r="B62" t="s">
        <v>259</v>
      </c>
      <c r="C62">
        <v>27141</v>
      </c>
      <c r="D62" t="s">
        <v>277</v>
      </c>
      <c r="E62" t="s">
        <v>261</v>
      </c>
      <c r="F62" t="s">
        <v>262</v>
      </c>
      <c r="G62" t="s">
        <v>267</v>
      </c>
      <c r="H62">
        <v>14993.4942054075</v>
      </c>
      <c r="I62" t="s">
        <v>264</v>
      </c>
      <c r="J62" t="s">
        <v>265</v>
      </c>
      <c r="K62">
        <v>71867</v>
      </c>
      <c r="L62" t="s">
        <v>266</v>
      </c>
      <c r="M62">
        <v>0.21</v>
      </c>
    </row>
    <row r="63" spans="1:13" x14ac:dyDescent="0.25">
      <c r="A63">
        <v>2002</v>
      </c>
      <c r="B63" t="s">
        <v>259</v>
      </c>
      <c r="C63">
        <v>27141</v>
      </c>
      <c r="D63" t="s">
        <v>277</v>
      </c>
      <c r="E63" t="s">
        <v>261</v>
      </c>
      <c r="F63" t="s">
        <v>262</v>
      </c>
      <c r="G63" t="s">
        <v>269</v>
      </c>
      <c r="H63">
        <v>0</v>
      </c>
      <c r="I63" t="s">
        <v>264</v>
      </c>
      <c r="J63" t="s">
        <v>265</v>
      </c>
      <c r="K63">
        <v>71867</v>
      </c>
      <c r="L63" t="s">
        <v>266</v>
      </c>
      <c r="M63">
        <v>0</v>
      </c>
    </row>
    <row r="64" spans="1:13" x14ac:dyDescent="0.25">
      <c r="A64">
        <v>2002</v>
      </c>
      <c r="B64" t="s">
        <v>259</v>
      </c>
      <c r="C64">
        <v>27141</v>
      </c>
      <c r="D64" t="s">
        <v>277</v>
      </c>
      <c r="E64" t="s">
        <v>261</v>
      </c>
      <c r="F64" t="s">
        <v>268</v>
      </c>
      <c r="G64" t="s">
        <v>263</v>
      </c>
      <c r="H64">
        <v>407.720375321993</v>
      </c>
      <c r="I64" t="s">
        <v>264</v>
      </c>
      <c r="J64" t="s">
        <v>265</v>
      </c>
      <c r="K64">
        <v>71867</v>
      </c>
      <c r="L64" t="s">
        <v>266</v>
      </c>
      <c r="M64">
        <v>0.01</v>
      </c>
    </row>
    <row r="65" spans="1:13" x14ac:dyDescent="0.25">
      <c r="A65">
        <v>2002</v>
      </c>
      <c r="B65" t="s">
        <v>259</v>
      </c>
      <c r="C65">
        <v>27141</v>
      </c>
      <c r="D65" t="s">
        <v>277</v>
      </c>
      <c r="E65" t="s">
        <v>261</v>
      </c>
      <c r="F65" t="s">
        <v>268</v>
      </c>
      <c r="G65" t="s">
        <v>267</v>
      </c>
      <c r="H65">
        <v>3507.7993296262498</v>
      </c>
      <c r="I65" t="s">
        <v>264</v>
      </c>
      <c r="J65" t="s">
        <v>265</v>
      </c>
      <c r="K65">
        <v>71867</v>
      </c>
      <c r="L65" t="s">
        <v>266</v>
      </c>
      <c r="M65">
        <v>0.05</v>
      </c>
    </row>
    <row r="66" spans="1:13" x14ac:dyDescent="0.25">
      <c r="A66">
        <v>2002</v>
      </c>
      <c r="B66" t="s">
        <v>259</v>
      </c>
      <c r="C66">
        <v>27141</v>
      </c>
      <c r="D66" t="s">
        <v>277</v>
      </c>
      <c r="E66" t="s">
        <v>261</v>
      </c>
      <c r="F66" t="s">
        <v>268</v>
      </c>
      <c r="G66" t="s">
        <v>269</v>
      </c>
      <c r="H66">
        <v>55.717190722007302</v>
      </c>
      <c r="I66" t="s">
        <v>264</v>
      </c>
      <c r="J66" t="s">
        <v>265</v>
      </c>
      <c r="K66">
        <v>71867</v>
      </c>
      <c r="L66" t="s">
        <v>266</v>
      </c>
      <c r="M66">
        <v>0</v>
      </c>
    </row>
    <row r="67" spans="1:13" x14ac:dyDescent="0.25">
      <c r="A67">
        <v>2002</v>
      </c>
      <c r="B67" t="s">
        <v>259</v>
      </c>
      <c r="C67">
        <v>27141</v>
      </c>
      <c r="D67" t="s">
        <v>277</v>
      </c>
      <c r="E67" t="s">
        <v>261</v>
      </c>
      <c r="F67" t="s">
        <v>270</v>
      </c>
      <c r="G67" t="s">
        <v>263</v>
      </c>
      <c r="H67">
        <v>20033.375275679799</v>
      </c>
      <c r="I67" t="s">
        <v>264</v>
      </c>
      <c r="J67" t="s">
        <v>265</v>
      </c>
      <c r="K67">
        <v>71867</v>
      </c>
      <c r="L67" t="s">
        <v>266</v>
      </c>
      <c r="M67">
        <v>0.28000000000000003</v>
      </c>
    </row>
    <row r="68" spans="1:13" x14ac:dyDescent="0.25">
      <c r="A68">
        <v>2002</v>
      </c>
      <c r="B68" t="s">
        <v>259</v>
      </c>
      <c r="C68">
        <v>27141</v>
      </c>
      <c r="D68" t="s">
        <v>277</v>
      </c>
      <c r="E68" t="s">
        <v>261</v>
      </c>
      <c r="F68" t="s">
        <v>270</v>
      </c>
      <c r="G68" t="s">
        <v>267</v>
      </c>
      <c r="H68">
        <v>79851.675554690693</v>
      </c>
      <c r="I68" t="s">
        <v>264</v>
      </c>
      <c r="J68" t="s">
        <v>265</v>
      </c>
      <c r="K68">
        <v>71867</v>
      </c>
      <c r="L68" t="s">
        <v>266</v>
      </c>
      <c r="M68">
        <v>1.1100000000000001</v>
      </c>
    </row>
    <row r="69" spans="1:13" x14ac:dyDescent="0.25">
      <c r="A69">
        <v>2002</v>
      </c>
      <c r="B69" t="s">
        <v>259</v>
      </c>
      <c r="C69">
        <v>27141</v>
      </c>
      <c r="D69" t="s">
        <v>277</v>
      </c>
      <c r="E69" t="s">
        <v>261</v>
      </c>
      <c r="F69" t="s">
        <v>270</v>
      </c>
      <c r="G69" t="s">
        <v>269</v>
      </c>
      <c r="H69">
        <v>0.447702280561876</v>
      </c>
      <c r="I69" t="s">
        <v>264</v>
      </c>
      <c r="J69" t="s">
        <v>265</v>
      </c>
      <c r="K69">
        <v>71867</v>
      </c>
      <c r="L69" t="s">
        <v>266</v>
      </c>
      <c r="M69">
        <v>0</v>
      </c>
    </row>
    <row r="70" spans="1:13" x14ac:dyDescent="0.25">
      <c r="A70">
        <v>2002</v>
      </c>
      <c r="B70" t="s">
        <v>259</v>
      </c>
      <c r="C70">
        <v>27163</v>
      </c>
      <c r="D70" t="s">
        <v>278</v>
      </c>
      <c r="E70" t="s">
        <v>261</v>
      </c>
      <c r="F70" t="s">
        <v>262</v>
      </c>
      <c r="G70" t="s">
        <v>263</v>
      </c>
      <c r="H70">
        <v>781874.29825670598</v>
      </c>
      <c r="I70" t="s">
        <v>264</v>
      </c>
      <c r="J70" t="s">
        <v>265</v>
      </c>
      <c r="K70">
        <v>210181</v>
      </c>
      <c r="L70" t="s">
        <v>266</v>
      </c>
      <c r="M70">
        <v>3.72</v>
      </c>
    </row>
    <row r="71" spans="1:13" x14ac:dyDescent="0.25">
      <c r="A71">
        <v>2002</v>
      </c>
      <c r="B71" t="s">
        <v>259</v>
      </c>
      <c r="C71">
        <v>27163</v>
      </c>
      <c r="D71" t="s">
        <v>278</v>
      </c>
      <c r="E71" t="s">
        <v>261</v>
      </c>
      <c r="F71" t="s">
        <v>262</v>
      </c>
      <c r="G71" t="s">
        <v>267</v>
      </c>
      <c r="H71">
        <v>26147.531512517598</v>
      </c>
      <c r="I71" t="s">
        <v>264</v>
      </c>
      <c r="J71" t="s">
        <v>265</v>
      </c>
      <c r="K71">
        <v>210181</v>
      </c>
      <c r="L71" t="s">
        <v>266</v>
      </c>
      <c r="M71">
        <v>0.12</v>
      </c>
    </row>
    <row r="72" spans="1:13" x14ac:dyDescent="0.25">
      <c r="A72">
        <v>2002</v>
      </c>
      <c r="B72" t="s">
        <v>259</v>
      </c>
      <c r="C72">
        <v>27163</v>
      </c>
      <c r="D72" t="s">
        <v>278</v>
      </c>
      <c r="E72" t="s">
        <v>261</v>
      </c>
      <c r="F72" t="s">
        <v>262</v>
      </c>
      <c r="G72" t="s">
        <v>269</v>
      </c>
      <c r="H72">
        <v>0</v>
      </c>
      <c r="I72" t="s">
        <v>264</v>
      </c>
      <c r="J72" t="s">
        <v>265</v>
      </c>
      <c r="K72">
        <v>210181</v>
      </c>
      <c r="L72" t="s">
        <v>266</v>
      </c>
      <c r="M72">
        <v>0</v>
      </c>
    </row>
    <row r="73" spans="1:13" x14ac:dyDescent="0.25">
      <c r="A73">
        <v>2002</v>
      </c>
      <c r="B73" t="s">
        <v>259</v>
      </c>
      <c r="C73">
        <v>27163</v>
      </c>
      <c r="D73" t="s">
        <v>278</v>
      </c>
      <c r="E73" t="s">
        <v>261</v>
      </c>
      <c r="F73" t="s">
        <v>268</v>
      </c>
      <c r="G73" t="s">
        <v>263</v>
      </c>
      <c r="H73">
        <v>828.91975141603803</v>
      </c>
      <c r="I73" t="s">
        <v>264</v>
      </c>
      <c r="J73" t="s">
        <v>265</v>
      </c>
      <c r="K73">
        <v>210181</v>
      </c>
      <c r="L73" t="s">
        <v>266</v>
      </c>
      <c r="M73">
        <v>0</v>
      </c>
    </row>
    <row r="74" spans="1:13" x14ac:dyDescent="0.25">
      <c r="A74">
        <v>2002</v>
      </c>
      <c r="B74" t="s">
        <v>259</v>
      </c>
      <c r="C74">
        <v>27163</v>
      </c>
      <c r="D74" t="s">
        <v>278</v>
      </c>
      <c r="E74" t="s">
        <v>261</v>
      </c>
      <c r="F74" t="s">
        <v>268</v>
      </c>
      <c r="G74" t="s">
        <v>267</v>
      </c>
      <c r="H74">
        <v>9527.2758754449296</v>
      </c>
      <c r="I74" t="s">
        <v>264</v>
      </c>
      <c r="J74" t="s">
        <v>265</v>
      </c>
      <c r="K74">
        <v>210181</v>
      </c>
      <c r="L74" t="s">
        <v>266</v>
      </c>
      <c r="M74">
        <v>0.05</v>
      </c>
    </row>
    <row r="75" spans="1:13" x14ac:dyDescent="0.25">
      <c r="A75">
        <v>2002</v>
      </c>
      <c r="B75" t="s">
        <v>259</v>
      </c>
      <c r="C75">
        <v>27163</v>
      </c>
      <c r="D75" t="s">
        <v>278</v>
      </c>
      <c r="E75" t="s">
        <v>261</v>
      </c>
      <c r="F75" t="s">
        <v>268</v>
      </c>
      <c r="G75" t="s">
        <v>269</v>
      </c>
      <c r="H75">
        <v>204.041091183975</v>
      </c>
      <c r="I75" t="s">
        <v>264</v>
      </c>
      <c r="J75" t="s">
        <v>265</v>
      </c>
      <c r="K75">
        <v>210181</v>
      </c>
      <c r="L75" t="s">
        <v>266</v>
      </c>
      <c r="M75">
        <v>0</v>
      </c>
    </row>
    <row r="76" spans="1:13" x14ac:dyDescent="0.25">
      <c r="A76">
        <v>2002</v>
      </c>
      <c r="B76" t="s">
        <v>259</v>
      </c>
      <c r="C76">
        <v>27163</v>
      </c>
      <c r="D76" t="s">
        <v>278</v>
      </c>
      <c r="E76" t="s">
        <v>261</v>
      </c>
      <c r="F76" t="s">
        <v>270</v>
      </c>
      <c r="G76" t="s">
        <v>263</v>
      </c>
      <c r="H76">
        <v>41356.848412919098</v>
      </c>
      <c r="I76" t="s">
        <v>264</v>
      </c>
      <c r="J76" t="s">
        <v>265</v>
      </c>
      <c r="K76">
        <v>210181</v>
      </c>
      <c r="L76" t="s">
        <v>266</v>
      </c>
      <c r="M76">
        <v>0.2</v>
      </c>
    </row>
    <row r="77" spans="1:13" x14ac:dyDescent="0.25">
      <c r="A77">
        <v>2002</v>
      </c>
      <c r="B77" t="s">
        <v>259</v>
      </c>
      <c r="C77">
        <v>27163</v>
      </c>
      <c r="D77" t="s">
        <v>278</v>
      </c>
      <c r="E77" t="s">
        <v>261</v>
      </c>
      <c r="F77" t="s">
        <v>270</v>
      </c>
      <c r="G77" t="s">
        <v>267</v>
      </c>
      <c r="H77">
        <v>209233.938999217</v>
      </c>
      <c r="I77" t="s">
        <v>264</v>
      </c>
      <c r="J77" t="s">
        <v>265</v>
      </c>
      <c r="K77">
        <v>210181</v>
      </c>
      <c r="L77" t="s">
        <v>266</v>
      </c>
      <c r="M77">
        <v>1</v>
      </c>
    </row>
    <row r="78" spans="1:13" x14ac:dyDescent="0.25">
      <c r="A78">
        <v>2002</v>
      </c>
      <c r="B78" t="s">
        <v>259</v>
      </c>
      <c r="C78">
        <v>27163</v>
      </c>
      <c r="D78" t="s">
        <v>278</v>
      </c>
      <c r="E78" t="s">
        <v>261</v>
      </c>
      <c r="F78" t="s">
        <v>270</v>
      </c>
      <c r="G78" t="s">
        <v>269</v>
      </c>
      <c r="H78">
        <v>1.3502728603699301</v>
      </c>
      <c r="I78" t="s">
        <v>264</v>
      </c>
      <c r="J78" t="s">
        <v>265</v>
      </c>
      <c r="K78">
        <v>210181</v>
      </c>
      <c r="L78" t="s">
        <v>266</v>
      </c>
      <c r="M78">
        <v>0</v>
      </c>
    </row>
    <row r="79" spans="1:13" x14ac:dyDescent="0.25">
      <c r="A79">
        <v>2002</v>
      </c>
      <c r="B79" t="s">
        <v>259</v>
      </c>
      <c r="C79">
        <v>55093</v>
      </c>
      <c r="D79" t="s">
        <v>279</v>
      </c>
      <c r="E79" t="s">
        <v>261</v>
      </c>
      <c r="F79" t="s">
        <v>262</v>
      </c>
      <c r="G79" t="s">
        <v>263</v>
      </c>
      <c r="H79">
        <v>143013.465141803</v>
      </c>
      <c r="I79" t="s">
        <v>264</v>
      </c>
      <c r="J79" t="s">
        <v>265</v>
      </c>
      <c r="K79">
        <v>37547</v>
      </c>
      <c r="L79" t="s">
        <v>266</v>
      </c>
      <c r="M79">
        <v>3.81</v>
      </c>
    </row>
    <row r="80" spans="1:13" x14ac:dyDescent="0.25">
      <c r="A80">
        <v>2002</v>
      </c>
      <c r="B80" t="s">
        <v>259</v>
      </c>
      <c r="C80">
        <v>55093</v>
      </c>
      <c r="D80" t="s">
        <v>279</v>
      </c>
      <c r="E80" t="s">
        <v>261</v>
      </c>
      <c r="F80" t="s">
        <v>262</v>
      </c>
      <c r="G80" t="s">
        <v>267</v>
      </c>
      <c r="H80">
        <v>7693.7448762890699</v>
      </c>
      <c r="I80" t="s">
        <v>264</v>
      </c>
      <c r="J80" t="s">
        <v>265</v>
      </c>
      <c r="K80">
        <v>37547</v>
      </c>
      <c r="L80" t="s">
        <v>266</v>
      </c>
      <c r="M80">
        <v>0.2</v>
      </c>
    </row>
    <row r="81" spans="1:13" x14ac:dyDescent="0.25">
      <c r="A81">
        <v>2002</v>
      </c>
      <c r="B81" t="s">
        <v>259</v>
      </c>
      <c r="C81">
        <v>55093</v>
      </c>
      <c r="D81" t="s">
        <v>279</v>
      </c>
      <c r="E81" t="s">
        <v>261</v>
      </c>
      <c r="F81" t="s">
        <v>262</v>
      </c>
      <c r="G81" t="s">
        <v>269</v>
      </c>
      <c r="H81">
        <v>0</v>
      </c>
      <c r="I81" t="s">
        <v>264</v>
      </c>
      <c r="J81" t="s">
        <v>265</v>
      </c>
      <c r="K81">
        <v>37547</v>
      </c>
      <c r="L81" t="s">
        <v>266</v>
      </c>
      <c r="M81">
        <v>0</v>
      </c>
    </row>
    <row r="82" spans="1:13" x14ac:dyDescent="0.25">
      <c r="A82">
        <v>2002</v>
      </c>
      <c r="B82" t="s">
        <v>259</v>
      </c>
      <c r="C82">
        <v>55093</v>
      </c>
      <c r="D82" t="s">
        <v>279</v>
      </c>
      <c r="E82" t="s">
        <v>261</v>
      </c>
      <c r="F82" t="s">
        <v>268</v>
      </c>
      <c r="G82" t="s">
        <v>263</v>
      </c>
      <c r="H82">
        <v>165.894137488637</v>
      </c>
      <c r="I82" t="s">
        <v>264</v>
      </c>
      <c r="J82" t="s">
        <v>265</v>
      </c>
      <c r="K82">
        <v>37547</v>
      </c>
      <c r="L82" t="s">
        <v>266</v>
      </c>
      <c r="M82">
        <v>0</v>
      </c>
    </row>
    <row r="83" spans="1:13" x14ac:dyDescent="0.25">
      <c r="A83">
        <v>2002</v>
      </c>
      <c r="B83" t="s">
        <v>259</v>
      </c>
      <c r="C83">
        <v>55093</v>
      </c>
      <c r="D83" t="s">
        <v>279</v>
      </c>
      <c r="E83" t="s">
        <v>261</v>
      </c>
      <c r="F83" t="s">
        <v>268</v>
      </c>
      <c r="G83" t="s">
        <v>267</v>
      </c>
      <c r="H83">
        <v>2311.0474479878999</v>
      </c>
      <c r="I83" t="s">
        <v>264</v>
      </c>
      <c r="J83" t="s">
        <v>265</v>
      </c>
      <c r="K83">
        <v>37547</v>
      </c>
      <c r="L83" t="s">
        <v>266</v>
      </c>
      <c r="M83">
        <v>0.06</v>
      </c>
    </row>
    <row r="84" spans="1:13" x14ac:dyDescent="0.25">
      <c r="A84">
        <v>2002</v>
      </c>
      <c r="B84" t="s">
        <v>259</v>
      </c>
      <c r="C84">
        <v>55093</v>
      </c>
      <c r="D84" t="s">
        <v>279</v>
      </c>
      <c r="E84" t="s">
        <v>261</v>
      </c>
      <c r="F84" t="s">
        <v>268</v>
      </c>
      <c r="G84" t="s">
        <v>269</v>
      </c>
      <c r="H84">
        <v>37.765818652100897</v>
      </c>
      <c r="I84" t="s">
        <v>264</v>
      </c>
      <c r="J84" t="s">
        <v>265</v>
      </c>
      <c r="K84">
        <v>37547</v>
      </c>
      <c r="L84" t="s">
        <v>266</v>
      </c>
      <c r="M84">
        <v>0</v>
      </c>
    </row>
    <row r="85" spans="1:13" x14ac:dyDescent="0.25">
      <c r="A85">
        <v>2002</v>
      </c>
      <c r="B85" t="s">
        <v>259</v>
      </c>
      <c r="C85">
        <v>55093</v>
      </c>
      <c r="D85" t="s">
        <v>279</v>
      </c>
      <c r="E85" t="s">
        <v>261</v>
      </c>
      <c r="F85" t="s">
        <v>270</v>
      </c>
      <c r="G85" t="s">
        <v>263</v>
      </c>
      <c r="H85">
        <v>9675.3387654691196</v>
      </c>
      <c r="I85" t="s">
        <v>264</v>
      </c>
      <c r="J85" t="s">
        <v>265</v>
      </c>
      <c r="K85">
        <v>37547</v>
      </c>
      <c r="L85" t="s">
        <v>266</v>
      </c>
      <c r="M85">
        <v>0.26</v>
      </c>
    </row>
    <row r="86" spans="1:13" x14ac:dyDescent="0.25">
      <c r="A86">
        <v>2002</v>
      </c>
      <c r="B86" t="s">
        <v>259</v>
      </c>
      <c r="C86">
        <v>55093</v>
      </c>
      <c r="D86" t="s">
        <v>279</v>
      </c>
      <c r="E86" t="s">
        <v>261</v>
      </c>
      <c r="F86" t="s">
        <v>270</v>
      </c>
      <c r="G86" t="s">
        <v>267</v>
      </c>
      <c r="H86">
        <v>20125.397609406999</v>
      </c>
      <c r="I86" t="s">
        <v>264</v>
      </c>
      <c r="J86" t="s">
        <v>265</v>
      </c>
      <c r="K86">
        <v>37547</v>
      </c>
      <c r="L86" t="s">
        <v>266</v>
      </c>
      <c r="M86">
        <v>0.54</v>
      </c>
    </row>
    <row r="87" spans="1:13" x14ac:dyDescent="0.25">
      <c r="A87">
        <v>2002</v>
      </c>
      <c r="B87" t="s">
        <v>259</v>
      </c>
      <c r="C87">
        <v>55093</v>
      </c>
      <c r="D87" t="s">
        <v>279</v>
      </c>
      <c r="E87" t="s">
        <v>261</v>
      </c>
      <c r="F87" t="s">
        <v>270</v>
      </c>
      <c r="G87" t="s">
        <v>269</v>
      </c>
      <c r="H87">
        <v>0.568569775351775</v>
      </c>
      <c r="I87" t="s">
        <v>264</v>
      </c>
      <c r="J87" t="s">
        <v>265</v>
      </c>
      <c r="K87">
        <v>37547</v>
      </c>
      <c r="L87" t="s">
        <v>266</v>
      </c>
      <c r="M87">
        <v>0</v>
      </c>
    </row>
    <row r="88" spans="1:13" x14ac:dyDescent="0.25">
      <c r="A88">
        <v>2002</v>
      </c>
      <c r="B88" t="s">
        <v>259</v>
      </c>
      <c r="C88">
        <v>55109</v>
      </c>
      <c r="D88" t="s">
        <v>280</v>
      </c>
      <c r="E88" t="s">
        <v>261</v>
      </c>
      <c r="F88" t="s">
        <v>262</v>
      </c>
      <c r="G88" t="s">
        <v>263</v>
      </c>
      <c r="H88">
        <v>436630.76819081401</v>
      </c>
      <c r="I88" t="s">
        <v>264</v>
      </c>
      <c r="J88" t="s">
        <v>265</v>
      </c>
      <c r="K88">
        <v>68268</v>
      </c>
      <c r="L88" t="s">
        <v>266</v>
      </c>
      <c r="M88">
        <v>6.4</v>
      </c>
    </row>
    <row r="89" spans="1:13" x14ac:dyDescent="0.25">
      <c r="A89">
        <v>2002</v>
      </c>
      <c r="B89" t="s">
        <v>259</v>
      </c>
      <c r="C89">
        <v>55109</v>
      </c>
      <c r="D89" t="s">
        <v>280</v>
      </c>
      <c r="E89" t="s">
        <v>261</v>
      </c>
      <c r="F89" t="s">
        <v>262</v>
      </c>
      <c r="G89" t="s">
        <v>267</v>
      </c>
      <c r="H89">
        <v>23506.952830113401</v>
      </c>
      <c r="I89" t="s">
        <v>264</v>
      </c>
      <c r="J89" t="s">
        <v>265</v>
      </c>
      <c r="K89">
        <v>68268</v>
      </c>
      <c r="L89" t="s">
        <v>266</v>
      </c>
      <c r="M89">
        <v>0.34</v>
      </c>
    </row>
    <row r="90" spans="1:13" x14ac:dyDescent="0.25">
      <c r="A90">
        <v>2002</v>
      </c>
      <c r="B90" t="s">
        <v>259</v>
      </c>
      <c r="C90">
        <v>55109</v>
      </c>
      <c r="D90" t="s">
        <v>280</v>
      </c>
      <c r="E90" t="s">
        <v>261</v>
      </c>
      <c r="F90" t="s">
        <v>268</v>
      </c>
      <c r="G90" t="s">
        <v>263</v>
      </c>
      <c r="H90">
        <v>529.53980102566504</v>
      </c>
      <c r="I90" t="s">
        <v>264</v>
      </c>
      <c r="J90" t="s">
        <v>265</v>
      </c>
      <c r="K90">
        <v>68268</v>
      </c>
      <c r="L90" t="s">
        <v>266</v>
      </c>
      <c r="M90">
        <v>0.01</v>
      </c>
    </row>
    <row r="91" spans="1:13" x14ac:dyDescent="0.25">
      <c r="A91">
        <v>2002</v>
      </c>
      <c r="B91" t="s">
        <v>259</v>
      </c>
      <c r="C91">
        <v>55109</v>
      </c>
      <c r="D91" t="s">
        <v>280</v>
      </c>
      <c r="E91" t="s">
        <v>261</v>
      </c>
      <c r="F91" t="s">
        <v>268</v>
      </c>
      <c r="G91" t="s">
        <v>267</v>
      </c>
      <c r="H91">
        <v>6710.17183357866</v>
      </c>
      <c r="I91" t="s">
        <v>264</v>
      </c>
      <c r="J91" t="s">
        <v>265</v>
      </c>
      <c r="K91">
        <v>68268</v>
      </c>
      <c r="L91" t="s">
        <v>266</v>
      </c>
      <c r="M91">
        <v>0.1</v>
      </c>
    </row>
    <row r="92" spans="1:13" x14ac:dyDescent="0.25">
      <c r="A92">
        <v>2002</v>
      </c>
      <c r="B92" t="s">
        <v>259</v>
      </c>
      <c r="C92">
        <v>55109</v>
      </c>
      <c r="D92" t="s">
        <v>280</v>
      </c>
      <c r="E92" t="s">
        <v>261</v>
      </c>
      <c r="F92" t="s">
        <v>268</v>
      </c>
      <c r="G92" t="s">
        <v>269</v>
      </c>
      <c r="H92">
        <v>66.703518376972895</v>
      </c>
      <c r="I92" t="s">
        <v>264</v>
      </c>
      <c r="J92" t="s">
        <v>265</v>
      </c>
      <c r="K92">
        <v>68268</v>
      </c>
      <c r="L92" t="s">
        <v>266</v>
      </c>
      <c r="M92">
        <v>0</v>
      </c>
    </row>
    <row r="93" spans="1:13" x14ac:dyDescent="0.25">
      <c r="A93">
        <v>2002</v>
      </c>
      <c r="B93" t="s">
        <v>259</v>
      </c>
      <c r="C93">
        <v>55109</v>
      </c>
      <c r="D93" t="s">
        <v>280</v>
      </c>
      <c r="E93" t="s">
        <v>261</v>
      </c>
      <c r="F93" t="s">
        <v>270</v>
      </c>
      <c r="G93" t="s">
        <v>263</v>
      </c>
      <c r="H93">
        <v>31098.162538822198</v>
      </c>
      <c r="I93" t="s">
        <v>264</v>
      </c>
      <c r="J93" t="s">
        <v>265</v>
      </c>
      <c r="K93">
        <v>68268</v>
      </c>
      <c r="L93" t="s">
        <v>266</v>
      </c>
      <c r="M93">
        <v>0.46</v>
      </c>
    </row>
    <row r="94" spans="1:13" x14ac:dyDescent="0.25">
      <c r="A94">
        <v>2002</v>
      </c>
      <c r="B94" t="s">
        <v>259</v>
      </c>
      <c r="C94">
        <v>55109</v>
      </c>
      <c r="D94" t="s">
        <v>280</v>
      </c>
      <c r="E94" t="s">
        <v>261</v>
      </c>
      <c r="F94" t="s">
        <v>270</v>
      </c>
      <c r="G94" t="s">
        <v>267</v>
      </c>
      <c r="H94">
        <v>138094.54764049099</v>
      </c>
      <c r="I94" t="s">
        <v>264</v>
      </c>
      <c r="J94" t="s">
        <v>265</v>
      </c>
      <c r="K94">
        <v>68268</v>
      </c>
      <c r="L94" t="s">
        <v>266</v>
      </c>
      <c r="M94">
        <v>2.02</v>
      </c>
    </row>
    <row r="95" spans="1:13" x14ac:dyDescent="0.25">
      <c r="A95">
        <v>2002</v>
      </c>
      <c r="B95" t="s">
        <v>259</v>
      </c>
      <c r="C95">
        <v>55109</v>
      </c>
      <c r="D95" t="s">
        <v>280</v>
      </c>
      <c r="E95" t="s">
        <v>261</v>
      </c>
      <c r="F95" t="s">
        <v>270</v>
      </c>
      <c r="G95" t="s">
        <v>269</v>
      </c>
      <c r="H95">
        <v>1.8716983888243199</v>
      </c>
      <c r="I95" t="s">
        <v>264</v>
      </c>
      <c r="J95" t="s">
        <v>265</v>
      </c>
      <c r="K95">
        <v>68268</v>
      </c>
      <c r="L95" t="s">
        <v>266</v>
      </c>
      <c r="M95">
        <v>0</v>
      </c>
    </row>
    <row r="96" spans="1:13" x14ac:dyDescent="0.25">
      <c r="A96">
        <v>2003</v>
      </c>
      <c r="B96" t="s">
        <v>259</v>
      </c>
      <c r="C96">
        <v>27003</v>
      </c>
      <c r="D96" t="s">
        <v>260</v>
      </c>
      <c r="E96" t="s">
        <v>261</v>
      </c>
      <c r="F96" t="s">
        <v>262</v>
      </c>
      <c r="G96" t="s">
        <v>263</v>
      </c>
      <c r="H96">
        <v>1033701.13863227</v>
      </c>
      <c r="I96" t="s">
        <v>264</v>
      </c>
      <c r="J96" t="s">
        <v>265</v>
      </c>
      <c r="K96">
        <v>311863</v>
      </c>
      <c r="L96" t="s">
        <v>266</v>
      </c>
      <c r="M96">
        <v>3.31</v>
      </c>
    </row>
    <row r="97" spans="1:13" x14ac:dyDescent="0.25">
      <c r="A97">
        <v>2003</v>
      </c>
      <c r="B97" t="s">
        <v>259</v>
      </c>
      <c r="C97">
        <v>27003</v>
      </c>
      <c r="D97" t="s">
        <v>260</v>
      </c>
      <c r="E97" t="s">
        <v>261</v>
      </c>
      <c r="F97" t="s">
        <v>262</v>
      </c>
      <c r="G97" t="s">
        <v>267</v>
      </c>
      <c r="H97">
        <v>32004.8344710489</v>
      </c>
      <c r="I97" t="s">
        <v>264</v>
      </c>
      <c r="J97" t="s">
        <v>265</v>
      </c>
      <c r="K97">
        <v>311863</v>
      </c>
      <c r="L97" t="s">
        <v>266</v>
      </c>
      <c r="M97">
        <v>0.1</v>
      </c>
    </row>
    <row r="98" spans="1:13" x14ac:dyDescent="0.25">
      <c r="A98">
        <v>2003</v>
      </c>
      <c r="B98" t="s">
        <v>259</v>
      </c>
      <c r="C98">
        <v>27003</v>
      </c>
      <c r="D98" t="s">
        <v>260</v>
      </c>
      <c r="E98" t="s">
        <v>261</v>
      </c>
      <c r="F98" t="s">
        <v>268</v>
      </c>
      <c r="G98" t="s">
        <v>263</v>
      </c>
      <c r="H98">
        <v>1010.35891338991</v>
      </c>
      <c r="I98" t="s">
        <v>264</v>
      </c>
      <c r="J98" t="s">
        <v>265</v>
      </c>
      <c r="K98">
        <v>311863</v>
      </c>
      <c r="L98" t="s">
        <v>266</v>
      </c>
      <c r="M98">
        <v>0</v>
      </c>
    </row>
    <row r="99" spans="1:13" x14ac:dyDescent="0.25">
      <c r="A99">
        <v>2003</v>
      </c>
      <c r="B99" t="s">
        <v>259</v>
      </c>
      <c r="C99">
        <v>27003</v>
      </c>
      <c r="D99" t="s">
        <v>260</v>
      </c>
      <c r="E99" t="s">
        <v>261</v>
      </c>
      <c r="F99" t="s">
        <v>268</v>
      </c>
      <c r="G99" t="s">
        <v>267</v>
      </c>
      <c r="H99">
        <v>12980.0998506505</v>
      </c>
      <c r="I99" t="s">
        <v>264</v>
      </c>
      <c r="J99" t="s">
        <v>265</v>
      </c>
      <c r="K99">
        <v>311863</v>
      </c>
      <c r="L99" t="s">
        <v>266</v>
      </c>
      <c r="M99">
        <v>0.04</v>
      </c>
    </row>
    <row r="100" spans="1:13" x14ac:dyDescent="0.25">
      <c r="A100">
        <v>2003</v>
      </c>
      <c r="B100" t="s">
        <v>259</v>
      </c>
      <c r="C100">
        <v>27003</v>
      </c>
      <c r="D100" t="s">
        <v>260</v>
      </c>
      <c r="E100" t="s">
        <v>261</v>
      </c>
      <c r="F100" t="s">
        <v>268</v>
      </c>
      <c r="G100" t="s">
        <v>269</v>
      </c>
      <c r="H100">
        <v>18.822144497665601</v>
      </c>
      <c r="I100" t="s">
        <v>264</v>
      </c>
      <c r="J100" t="s">
        <v>265</v>
      </c>
      <c r="K100">
        <v>311863</v>
      </c>
      <c r="L100" t="s">
        <v>266</v>
      </c>
      <c r="M100">
        <v>0</v>
      </c>
    </row>
    <row r="101" spans="1:13" x14ac:dyDescent="0.25">
      <c r="A101">
        <v>2003</v>
      </c>
      <c r="B101" t="s">
        <v>259</v>
      </c>
      <c r="C101">
        <v>27003</v>
      </c>
      <c r="D101" t="s">
        <v>260</v>
      </c>
      <c r="E101" t="s">
        <v>261</v>
      </c>
      <c r="F101" t="s">
        <v>270</v>
      </c>
      <c r="G101" t="s">
        <v>263</v>
      </c>
      <c r="H101">
        <v>86400.986579453005</v>
      </c>
      <c r="I101" t="s">
        <v>264</v>
      </c>
      <c r="J101" t="s">
        <v>265</v>
      </c>
      <c r="K101">
        <v>311863</v>
      </c>
      <c r="L101" t="s">
        <v>266</v>
      </c>
      <c r="M101">
        <v>0.28000000000000003</v>
      </c>
    </row>
    <row r="102" spans="1:13" x14ac:dyDescent="0.25">
      <c r="A102">
        <v>2003</v>
      </c>
      <c r="B102" t="s">
        <v>259</v>
      </c>
      <c r="C102">
        <v>27003</v>
      </c>
      <c r="D102" t="s">
        <v>260</v>
      </c>
      <c r="E102" t="s">
        <v>261</v>
      </c>
      <c r="F102" t="s">
        <v>270</v>
      </c>
      <c r="G102" t="s">
        <v>267</v>
      </c>
      <c r="H102">
        <v>279979.16462482902</v>
      </c>
      <c r="I102" t="s">
        <v>264</v>
      </c>
      <c r="J102" t="s">
        <v>265</v>
      </c>
      <c r="K102">
        <v>311863</v>
      </c>
      <c r="L102" t="s">
        <v>266</v>
      </c>
      <c r="M102">
        <v>0.9</v>
      </c>
    </row>
    <row r="103" spans="1:13" x14ac:dyDescent="0.25">
      <c r="A103">
        <v>2003</v>
      </c>
      <c r="B103" t="s">
        <v>259</v>
      </c>
      <c r="C103">
        <v>27003</v>
      </c>
      <c r="D103" t="s">
        <v>260</v>
      </c>
      <c r="E103" t="s">
        <v>261</v>
      </c>
      <c r="F103" t="s">
        <v>270</v>
      </c>
      <c r="G103" t="s">
        <v>269</v>
      </c>
      <c r="H103">
        <v>2.5954280828079499</v>
      </c>
      <c r="I103" t="s">
        <v>264</v>
      </c>
      <c r="J103" t="s">
        <v>265</v>
      </c>
      <c r="K103">
        <v>311863</v>
      </c>
      <c r="L103" t="s">
        <v>266</v>
      </c>
      <c r="M103">
        <v>0</v>
      </c>
    </row>
    <row r="104" spans="1:13" x14ac:dyDescent="0.25">
      <c r="A104">
        <v>2003</v>
      </c>
      <c r="B104" t="s">
        <v>259</v>
      </c>
      <c r="C104">
        <v>27019</v>
      </c>
      <c r="D104" t="s">
        <v>271</v>
      </c>
      <c r="E104" t="s">
        <v>261</v>
      </c>
      <c r="F104" t="s">
        <v>262</v>
      </c>
      <c r="G104" t="s">
        <v>263</v>
      </c>
      <c r="H104">
        <v>312608.78680484102</v>
      </c>
      <c r="I104" t="s">
        <v>264</v>
      </c>
      <c r="J104" t="s">
        <v>265</v>
      </c>
      <c r="K104">
        <v>78005</v>
      </c>
      <c r="L104" t="s">
        <v>266</v>
      </c>
      <c r="M104">
        <v>4.01</v>
      </c>
    </row>
    <row r="105" spans="1:13" x14ac:dyDescent="0.25">
      <c r="A105">
        <v>2003</v>
      </c>
      <c r="B105" t="s">
        <v>259</v>
      </c>
      <c r="C105">
        <v>27019</v>
      </c>
      <c r="D105" t="s">
        <v>271</v>
      </c>
      <c r="E105" t="s">
        <v>261</v>
      </c>
      <c r="F105" t="s">
        <v>262</v>
      </c>
      <c r="G105" t="s">
        <v>267</v>
      </c>
      <c r="H105">
        <v>14326.653363065499</v>
      </c>
      <c r="I105" t="s">
        <v>264</v>
      </c>
      <c r="J105" t="s">
        <v>265</v>
      </c>
      <c r="K105">
        <v>78005</v>
      </c>
      <c r="L105" t="s">
        <v>266</v>
      </c>
      <c r="M105">
        <v>0.18</v>
      </c>
    </row>
    <row r="106" spans="1:13" x14ac:dyDescent="0.25">
      <c r="A106">
        <v>2003</v>
      </c>
      <c r="B106" t="s">
        <v>259</v>
      </c>
      <c r="C106">
        <v>27019</v>
      </c>
      <c r="D106" t="s">
        <v>271</v>
      </c>
      <c r="E106" t="s">
        <v>261</v>
      </c>
      <c r="F106" t="s">
        <v>268</v>
      </c>
      <c r="G106" t="s">
        <v>263</v>
      </c>
      <c r="H106">
        <v>226.62350438918401</v>
      </c>
      <c r="I106" t="s">
        <v>264</v>
      </c>
      <c r="J106" t="s">
        <v>265</v>
      </c>
      <c r="K106">
        <v>78005</v>
      </c>
      <c r="L106" t="s">
        <v>266</v>
      </c>
      <c r="M106">
        <v>0</v>
      </c>
    </row>
    <row r="107" spans="1:13" x14ac:dyDescent="0.25">
      <c r="A107">
        <v>2003</v>
      </c>
      <c r="B107" t="s">
        <v>259</v>
      </c>
      <c r="C107">
        <v>27019</v>
      </c>
      <c r="D107" t="s">
        <v>271</v>
      </c>
      <c r="E107" t="s">
        <v>261</v>
      </c>
      <c r="F107" t="s">
        <v>268</v>
      </c>
      <c r="G107" t="s">
        <v>267</v>
      </c>
      <c r="H107">
        <v>3882.1543719000601</v>
      </c>
      <c r="I107" t="s">
        <v>264</v>
      </c>
      <c r="J107" t="s">
        <v>265</v>
      </c>
      <c r="K107">
        <v>78005</v>
      </c>
      <c r="L107" t="s">
        <v>266</v>
      </c>
      <c r="M107">
        <v>0.05</v>
      </c>
    </row>
    <row r="108" spans="1:13" x14ac:dyDescent="0.25">
      <c r="A108">
        <v>2003</v>
      </c>
      <c r="B108" t="s">
        <v>259</v>
      </c>
      <c r="C108">
        <v>27019</v>
      </c>
      <c r="D108" t="s">
        <v>271</v>
      </c>
      <c r="E108" t="s">
        <v>261</v>
      </c>
      <c r="F108" t="s">
        <v>268</v>
      </c>
      <c r="G108" t="s">
        <v>269</v>
      </c>
      <c r="H108">
        <v>121.981964446243</v>
      </c>
      <c r="I108" t="s">
        <v>264</v>
      </c>
      <c r="J108" t="s">
        <v>265</v>
      </c>
      <c r="K108">
        <v>78005</v>
      </c>
      <c r="L108" t="s">
        <v>266</v>
      </c>
      <c r="M108">
        <v>0</v>
      </c>
    </row>
    <row r="109" spans="1:13" x14ac:dyDescent="0.25">
      <c r="A109">
        <v>2003</v>
      </c>
      <c r="B109" t="s">
        <v>259</v>
      </c>
      <c r="C109">
        <v>27019</v>
      </c>
      <c r="D109" t="s">
        <v>271</v>
      </c>
      <c r="E109" t="s">
        <v>261</v>
      </c>
      <c r="F109" t="s">
        <v>270</v>
      </c>
      <c r="G109" t="s">
        <v>263</v>
      </c>
      <c r="H109">
        <v>18067.078374487701</v>
      </c>
      <c r="I109" t="s">
        <v>264</v>
      </c>
      <c r="J109" t="s">
        <v>265</v>
      </c>
      <c r="K109">
        <v>78005</v>
      </c>
      <c r="L109" t="s">
        <v>266</v>
      </c>
      <c r="M109">
        <v>0.23</v>
      </c>
    </row>
    <row r="110" spans="1:13" x14ac:dyDescent="0.25">
      <c r="A110">
        <v>2003</v>
      </c>
      <c r="B110" t="s">
        <v>259</v>
      </c>
      <c r="C110">
        <v>27019</v>
      </c>
      <c r="D110" t="s">
        <v>271</v>
      </c>
      <c r="E110" t="s">
        <v>261</v>
      </c>
      <c r="F110" t="s">
        <v>270</v>
      </c>
      <c r="G110" t="s">
        <v>267</v>
      </c>
      <c r="H110">
        <v>85833.530004293003</v>
      </c>
      <c r="I110" t="s">
        <v>264</v>
      </c>
      <c r="J110" t="s">
        <v>265</v>
      </c>
      <c r="K110">
        <v>78005</v>
      </c>
      <c r="L110" t="s">
        <v>266</v>
      </c>
      <c r="M110">
        <v>1.1000000000000001</v>
      </c>
    </row>
    <row r="111" spans="1:13" x14ac:dyDescent="0.25">
      <c r="A111">
        <v>2003</v>
      </c>
      <c r="B111" t="s">
        <v>259</v>
      </c>
      <c r="C111">
        <v>27019</v>
      </c>
      <c r="D111" t="s">
        <v>271</v>
      </c>
      <c r="E111" t="s">
        <v>261</v>
      </c>
      <c r="F111" t="s">
        <v>270</v>
      </c>
      <c r="G111" t="s">
        <v>269</v>
      </c>
      <c r="H111">
        <v>1.88674046502881</v>
      </c>
      <c r="I111" t="s">
        <v>264</v>
      </c>
      <c r="J111" t="s">
        <v>265</v>
      </c>
      <c r="K111">
        <v>78005</v>
      </c>
      <c r="L111" t="s">
        <v>266</v>
      </c>
      <c r="M111">
        <v>0</v>
      </c>
    </row>
    <row r="112" spans="1:13" x14ac:dyDescent="0.25">
      <c r="A112">
        <v>2003</v>
      </c>
      <c r="B112" t="s">
        <v>259</v>
      </c>
      <c r="C112">
        <v>27025</v>
      </c>
      <c r="D112" t="s">
        <v>272</v>
      </c>
      <c r="E112" t="s">
        <v>261</v>
      </c>
      <c r="F112" t="s">
        <v>262</v>
      </c>
      <c r="G112" t="s">
        <v>263</v>
      </c>
      <c r="H112">
        <v>289429.693438121</v>
      </c>
      <c r="I112" t="s">
        <v>264</v>
      </c>
      <c r="J112" t="s">
        <v>265</v>
      </c>
      <c r="K112">
        <v>47322</v>
      </c>
      <c r="L112" t="s">
        <v>266</v>
      </c>
      <c r="M112">
        <v>6.12</v>
      </c>
    </row>
    <row r="113" spans="1:13" x14ac:dyDescent="0.25">
      <c r="A113">
        <v>2003</v>
      </c>
      <c r="B113" t="s">
        <v>259</v>
      </c>
      <c r="C113">
        <v>27025</v>
      </c>
      <c r="D113" t="s">
        <v>272</v>
      </c>
      <c r="E113" t="s">
        <v>261</v>
      </c>
      <c r="F113" t="s">
        <v>262</v>
      </c>
      <c r="G113" t="s">
        <v>267</v>
      </c>
      <c r="H113">
        <v>16199.938783649901</v>
      </c>
      <c r="I113" t="s">
        <v>264</v>
      </c>
      <c r="J113" t="s">
        <v>265</v>
      </c>
      <c r="K113">
        <v>47322</v>
      </c>
      <c r="L113" t="s">
        <v>266</v>
      </c>
      <c r="M113">
        <v>0.34</v>
      </c>
    </row>
    <row r="114" spans="1:13" x14ac:dyDescent="0.25">
      <c r="A114">
        <v>2003</v>
      </c>
      <c r="B114" t="s">
        <v>259</v>
      </c>
      <c r="C114">
        <v>27025</v>
      </c>
      <c r="D114" t="s">
        <v>272</v>
      </c>
      <c r="E114" t="s">
        <v>261</v>
      </c>
      <c r="F114" t="s">
        <v>268</v>
      </c>
      <c r="G114" t="s">
        <v>263</v>
      </c>
      <c r="H114">
        <v>664.47258051029996</v>
      </c>
      <c r="I114" t="s">
        <v>264</v>
      </c>
      <c r="J114" t="s">
        <v>265</v>
      </c>
      <c r="K114">
        <v>47322</v>
      </c>
      <c r="L114" t="s">
        <v>266</v>
      </c>
      <c r="M114">
        <v>0.01</v>
      </c>
    </row>
    <row r="115" spans="1:13" x14ac:dyDescent="0.25">
      <c r="A115">
        <v>2003</v>
      </c>
      <c r="B115" t="s">
        <v>259</v>
      </c>
      <c r="C115">
        <v>27025</v>
      </c>
      <c r="D115" t="s">
        <v>272</v>
      </c>
      <c r="E115" t="s">
        <v>261</v>
      </c>
      <c r="F115" t="s">
        <v>268</v>
      </c>
      <c r="G115" t="s">
        <v>267</v>
      </c>
      <c r="H115">
        <v>3075.5563843003602</v>
      </c>
      <c r="I115" t="s">
        <v>264</v>
      </c>
      <c r="J115" t="s">
        <v>265</v>
      </c>
      <c r="K115">
        <v>47322</v>
      </c>
      <c r="L115" t="s">
        <v>266</v>
      </c>
      <c r="M115">
        <v>0.06</v>
      </c>
    </row>
    <row r="116" spans="1:13" x14ac:dyDescent="0.25">
      <c r="A116">
        <v>2003</v>
      </c>
      <c r="B116" t="s">
        <v>259</v>
      </c>
      <c r="C116">
        <v>27025</v>
      </c>
      <c r="D116" t="s">
        <v>272</v>
      </c>
      <c r="E116" t="s">
        <v>261</v>
      </c>
      <c r="F116" t="s">
        <v>268</v>
      </c>
      <c r="G116" t="s">
        <v>269</v>
      </c>
      <c r="H116">
        <v>51.306326266109899</v>
      </c>
      <c r="I116" t="s">
        <v>264</v>
      </c>
      <c r="J116" t="s">
        <v>265</v>
      </c>
      <c r="K116">
        <v>47322</v>
      </c>
      <c r="L116" t="s">
        <v>266</v>
      </c>
      <c r="M116">
        <v>0</v>
      </c>
    </row>
    <row r="117" spans="1:13" x14ac:dyDescent="0.25">
      <c r="A117">
        <v>2003</v>
      </c>
      <c r="B117" t="s">
        <v>259</v>
      </c>
      <c r="C117">
        <v>27025</v>
      </c>
      <c r="D117" t="s">
        <v>272</v>
      </c>
      <c r="E117" t="s">
        <v>261</v>
      </c>
      <c r="F117" t="s">
        <v>270</v>
      </c>
      <c r="G117" t="s">
        <v>263</v>
      </c>
      <c r="H117">
        <v>15409.8053683009</v>
      </c>
      <c r="I117" t="s">
        <v>264</v>
      </c>
      <c r="J117" t="s">
        <v>265</v>
      </c>
      <c r="K117">
        <v>47322</v>
      </c>
      <c r="L117" t="s">
        <v>266</v>
      </c>
      <c r="M117">
        <v>0.33</v>
      </c>
    </row>
    <row r="118" spans="1:13" x14ac:dyDescent="0.25">
      <c r="A118">
        <v>2003</v>
      </c>
      <c r="B118" t="s">
        <v>259</v>
      </c>
      <c r="C118">
        <v>27025</v>
      </c>
      <c r="D118" t="s">
        <v>272</v>
      </c>
      <c r="E118" t="s">
        <v>261</v>
      </c>
      <c r="F118" t="s">
        <v>270</v>
      </c>
      <c r="G118" t="s">
        <v>267</v>
      </c>
      <c r="H118">
        <v>76248.618695309095</v>
      </c>
      <c r="I118" t="s">
        <v>264</v>
      </c>
      <c r="J118" t="s">
        <v>265</v>
      </c>
      <c r="K118">
        <v>47322</v>
      </c>
      <c r="L118" t="s">
        <v>266</v>
      </c>
      <c r="M118">
        <v>1.61</v>
      </c>
    </row>
    <row r="119" spans="1:13" x14ac:dyDescent="0.25">
      <c r="A119">
        <v>2003</v>
      </c>
      <c r="B119" t="s">
        <v>259</v>
      </c>
      <c r="C119">
        <v>27025</v>
      </c>
      <c r="D119" t="s">
        <v>272</v>
      </c>
      <c r="E119" t="s">
        <v>261</v>
      </c>
      <c r="F119" t="s">
        <v>270</v>
      </c>
      <c r="G119" t="s">
        <v>269</v>
      </c>
      <c r="H119">
        <v>0.60950130422465199</v>
      </c>
      <c r="I119" t="s">
        <v>264</v>
      </c>
      <c r="J119" t="s">
        <v>265</v>
      </c>
      <c r="K119">
        <v>47322</v>
      </c>
      <c r="L119" t="s">
        <v>266</v>
      </c>
      <c r="M119">
        <v>0</v>
      </c>
    </row>
    <row r="120" spans="1:13" x14ac:dyDescent="0.25">
      <c r="A120">
        <v>2003</v>
      </c>
      <c r="B120" t="s">
        <v>259</v>
      </c>
      <c r="C120">
        <v>27037</v>
      </c>
      <c r="D120" t="s">
        <v>273</v>
      </c>
      <c r="E120" t="s">
        <v>261</v>
      </c>
      <c r="F120" t="s">
        <v>262</v>
      </c>
      <c r="G120" t="s">
        <v>263</v>
      </c>
      <c r="H120">
        <v>1334626.6154847001</v>
      </c>
      <c r="I120" t="s">
        <v>264</v>
      </c>
      <c r="J120" t="s">
        <v>265</v>
      </c>
      <c r="K120">
        <v>372265</v>
      </c>
      <c r="L120" t="s">
        <v>266</v>
      </c>
      <c r="M120">
        <v>3.59</v>
      </c>
    </row>
    <row r="121" spans="1:13" x14ac:dyDescent="0.25">
      <c r="A121">
        <v>2003</v>
      </c>
      <c r="B121" t="s">
        <v>259</v>
      </c>
      <c r="C121">
        <v>27037</v>
      </c>
      <c r="D121" t="s">
        <v>273</v>
      </c>
      <c r="E121" t="s">
        <v>261</v>
      </c>
      <c r="F121" t="s">
        <v>262</v>
      </c>
      <c r="G121" t="s">
        <v>267</v>
      </c>
      <c r="H121">
        <v>34716.752657566598</v>
      </c>
      <c r="I121" t="s">
        <v>264</v>
      </c>
      <c r="J121" t="s">
        <v>265</v>
      </c>
      <c r="K121">
        <v>372265</v>
      </c>
      <c r="L121" t="s">
        <v>266</v>
      </c>
      <c r="M121">
        <v>0.09</v>
      </c>
    </row>
    <row r="122" spans="1:13" x14ac:dyDescent="0.25">
      <c r="A122">
        <v>2003</v>
      </c>
      <c r="B122" t="s">
        <v>259</v>
      </c>
      <c r="C122">
        <v>27037</v>
      </c>
      <c r="D122" t="s">
        <v>273</v>
      </c>
      <c r="E122" t="s">
        <v>261</v>
      </c>
      <c r="F122" t="s">
        <v>262</v>
      </c>
      <c r="G122" t="s">
        <v>269</v>
      </c>
      <c r="H122">
        <v>0</v>
      </c>
      <c r="I122" t="s">
        <v>264</v>
      </c>
      <c r="J122" t="s">
        <v>265</v>
      </c>
      <c r="K122">
        <v>372265</v>
      </c>
      <c r="L122" t="s">
        <v>266</v>
      </c>
      <c r="M122">
        <v>0</v>
      </c>
    </row>
    <row r="123" spans="1:13" x14ac:dyDescent="0.25">
      <c r="A123">
        <v>2003</v>
      </c>
      <c r="B123" t="s">
        <v>259</v>
      </c>
      <c r="C123">
        <v>27037</v>
      </c>
      <c r="D123" t="s">
        <v>273</v>
      </c>
      <c r="E123" t="s">
        <v>261</v>
      </c>
      <c r="F123" t="s">
        <v>268</v>
      </c>
      <c r="G123" t="s">
        <v>263</v>
      </c>
      <c r="H123">
        <v>967.25992936645696</v>
      </c>
      <c r="I123" t="s">
        <v>264</v>
      </c>
      <c r="J123" t="s">
        <v>265</v>
      </c>
      <c r="K123">
        <v>372265</v>
      </c>
      <c r="L123" t="s">
        <v>266</v>
      </c>
      <c r="M123">
        <v>0</v>
      </c>
    </row>
    <row r="124" spans="1:13" x14ac:dyDescent="0.25">
      <c r="A124">
        <v>2003</v>
      </c>
      <c r="B124" t="s">
        <v>259</v>
      </c>
      <c r="C124">
        <v>27037</v>
      </c>
      <c r="D124" t="s">
        <v>273</v>
      </c>
      <c r="E124" t="s">
        <v>261</v>
      </c>
      <c r="F124" t="s">
        <v>268</v>
      </c>
      <c r="G124" t="s">
        <v>267</v>
      </c>
      <c r="H124">
        <v>17044.555566380099</v>
      </c>
      <c r="I124" t="s">
        <v>264</v>
      </c>
      <c r="J124" t="s">
        <v>265</v>
      </c>
      <c r="K124">
        <v>372265</v>
      </c>
      <c r="L124" t="s">
        <v>266</v>
      </c>
      <c r="M124">
        <v>0.05</v>
      </c>
    </row>
    <row r="125" spans="1:13" x14ac:dyDescent="0.25">
      <c r="A125">
        <v>2003</v>
      </c>
      <c r="B125" t="s">
        <v>259</v>
      </c>
      <c r="C125">
        <v>27037</v>
      </c>
      <c r="D125" t="s">
        <v>273</v>
      </c>
      <c r="E125" t="s">
        <v>261</v>
      </c>
      <c r="F125" t="s">
        <v>268</v>
      </c>
      <c r="G125" t="s">
        <v>269</v>
      </c>
      <c r="H125">
        <v>36.9913258500683</v>
      </c>
      <c r="I125" t="s">
        <v>264</v>
      </c>
      <c r="J125" t="s">
        <v>265</v>
      </c>
      <c r="K125">
        <v>372265</v>
      </c>
      <c r="L125" t="s">
        <v>266</v>
      </c>
      <c r="M125">
        <v>0</v>
      </c>
    </row>
    <row r="126" spans="1:13" x14ac:dyDescent="0.25">
      <c r="A126">
        <v>2003</v>
      </c>
      <c r="B126" t="s">
        <v>259</v>
      </c>
      <c r="C126">
        <v>27037</v>
      </c>
      <c r="D126" t="s">
        <v>273</v>
      </c>
      <c r="E126" t="s">
        <v>261</v>
      </c>
      <c r="F126" t="s">
        <v>270</v>
      </c>
      <c r="G126" t="s">
        <v>263</v>
      </c>
      <c r="H126">
        <v>82637.645077380497</v>
      </c>
      <c r="I126" t="s">
        <v>264</v>
      </c>
      <c r="J126" t="s">
        <v>265</v>
      </c>
      <c r="K126">
        <v>372265</v>
      </c>
      <c r="L126" t="s">
        <v>266</v>
      </c>
      <c r="M126">
        <v>0.22</v>
      </c>
    </row>
    <row r="127" spans="1:13" x14ac:dyDescent="0.25">
      <c r="A127">
        <v>2003</v>
      </c>
      <c r="B127" t="s">
        <v>259</v>
      </c>
      <c r="C127">
        <v>27037</v>
      </c>
      <c r="D127" t="s">
        <v>273</v>
      </c>
      <c r="E127" t="s">
        <v>261</v>
      </c>
      <c r="F127" t="s">
        <v>270</v>
      </c>
      <c r="G127" t="s">
        <v>267</v>
      </c>
      <c r="H127">
        <v>381620.95047871198</v>
      </c>
      <c r="I127" t="s">
        <v>264</v>
      </c>
      <c r="J127" t="s">
        <v>265</v>
      </c>
      <c r="K127">
        <v>372265</v>
      </c>
      <c r="L127" t="s">
        <v>266</v>
      </c>
      <c r="M127">
        <v>1.03</v>
      </c>
    </row>
    <row r="128" spans="1:13" x14ac:dyDescent="0.25">
      <c r="A128">
        <v>2003</v>
      </c>
      <c r="B128" t="s">
        <v>259</v>
      </c>
      <c r="C128">
        <v>27037</v>
      </c>
      <c r="D128" t="s">
        <v>273</v>
      </c>
      <c r="E128" t="s">
        <v>261</v>
      </c>
      <c r="F128" t="s">
        <v>270</v>
      </c>
      <c r="G128" t="s">
        <v>269</v>
      </c>
      <c r="H128">
        <v>3.0728371543874502</v>
      </c>
      <c r="I128" t="s">
        <v>264</v>
      </c>
      <c r="J128" t="s">
        <v>265</v>
      </c>
      <c r="K128">
        <v>372265</v>
      </c>
      <c r="L128" t="s">
        <v>266</v>
      </c>
      <c r="M128">
        <v>0</v>
      </c>
    </row>
    <row r="129" spans="1:13" x14ac:dyDescent="0.25">
      <c r="A129">
        <v>2003</v>
      </c>
      <c r="B129" t="s">
        <v>259</v>
      </c>
      <c r="C129">
        <v>27053</v>
      </c>
      <c r="D129" t="s">
        <v>274</v>
      </c>
      <c r="E129" t="s">
        <v>261</v>
      </c>
      <c r="F129" t="s">
        <v>262</v>
      </c>
      <c r="G129" t="s">
        <v>263</v>
      </c>
      <c r="H129">
        <v>3520491.07116774</v>
      </c>
      <c r="I129" t="s">
        <v>264</v>
      </c>
      <c r="J129" t="s">
        <v>265</v>
      </c>
      <c r="K129">
        <v>1119458</v>
      </c>
      <c r="L129" t="s">
        <v>266</v>
      </c>
      <c r="M129">
        <v>3.14</v>
      </c>
    </row>
    <row r="130" spans="1:13" x14ac:dyDescent="0.25">
      <c r="A130">
        <v>2003</v>
      </c>
      <c r="B130" t="s">
        <v>259</v>
      </c>
      <c r="C130">
        <v>27053</v>
      </c>
      <c r="D130" t="s">
        <v>274</v>
      </c>
      <c r="E130" t="s">
        <v>261</v>
      </c>
      <c r="F130" t="s">
        <v>262</v>
      </c>
      <c r="G130" t="s">
        <v>267</v>
      </c>
      <c r="H130">
        <v>67785.274562718696</v>
      </c>
      <c r="I130" t="s">
        <v>264</v>
      </c>
      <c r="J130" t="s">
        <v>265</v>
      </c>
      <c r="K130">
        <v>1119458</v>
      </c>
      <c r="L130" t="s">
        <v>266</v>
      </c>
      <c r="M130">
        <v>0.06</v>
      </c>
    </row>
    <row r="131" spans="1:13" x14ac:dyDescent="0.25">
      <c r="A131">
        <v>2003</v>
      </c>
      <c r="B131" t="s">
        <v>259</v>
      </c>
      <c r="C131">
        <v>27053</v>
      </c>
      <c r="D131" t="s">
        <v>274</v>
      </c>
      <c r="E131" t="s">
        <v>261</v>
      </c>
      <c r="F131" t="s">
        <v>262</v>
      </c>
      <c r="G131" t="s">
        <v>269</v>
      </c>
      <c r="H131">
        <v>0</v>
      </c>
      <c r="I131" t="s">
        <v>264</v>
      </c>
      <c r="J131" t="s">
        <v>265</v>
      </c>
      <c r="K131">
        <v>1119458</v>
      </c>
      <c r="L131" t="s">
        <v>266</v>
      </c>
      <c r="M131">
        <v>0</v>
      </c>
    </row>
    <row r="132" spans="1:13" x14ac:dyDescent="0.25">
      <c r="A132">
        <v>2003</v>
      </c>
      <c r="B132" t="s">
        <v>259</v>
      </c>
      <c r="C132">
        <v>27053</v>
      </c>
      <c r="D132" t="s">
        <v>274</v>
      </c>
      <c r="E132" t="s">
        <v>261</v>
      </c>
      <c r="F132" t="s">
        <v>268</v>
      </c>
      <c r="G132" t="s">
        <v>263</v>
      </c>
      <c r="H132">
        <v>3347.52929211531</v>
      </c>
      <c r="I132" t="s">
        <v>264</v>
      </c>
      <c r="J132" t="s">
        <v>265</v>
      </c>
      <c r="K132">
        <v>1119458</v>
      </c>
      <c r="L132" t="s">
        <v>266</v>
      </c>
      <c r="M132">
        <v>0</v>
      </c>
    </row>
    <row r="133" spans="1:13" x14ac:dyDescent="0.25">
      <c r="A133">
        <v>2003</v>
      </c>
      <c r="B133" t="s">
        <v>259</v>
      </c>
      <c r="C133">
        <v>27053</v>
      </c>
      <c r="D133" t="s">
        <v>274</v>
      </c>
      <c r="E133" t="s">
        <v>261</v>
      </c>
      <c r="F133" t="s">
        <v>268</v>
      </c>
      <c r="G133" t="s">
        <v>267</v>
      </c>
      <c r="H133">
        <v>47772.861804020999</v>
      </c>
      <c r="I133" t="s">
        <v>264</v>
      </c>
      <c r="J133" t="s">
        <v>265</v>
      </c>
      <c r="K133">
        <v>1119458</v>
      </c>
      <c r="L133" t="s">
        <v>266</v>
      </c>
      <c r="M133">
        <v>0.04</v>
      </c>
    </row>
    <row r="134" spans="1:13" x14ac:dyDescent="0.25">
      <c r="A134">
        <v>2003</v>
      </c>
      <c r="B134" t="s">
        <v>259</v>
      </c>
      <c r="C134">
        <v>27053</v>
      </c>
      <c r="D134" t="s">
        <v>274</v>
      </c>
      <c r="E134" t="s">
        <v>261</v>
      </c>
      <c r="F134" t="s">
        <v>268</v>
      </c>
      <c r="G134" t="s">
        <v>269</v>
      </c>
      <c r="H134">
        <v>34.228021394500601</v>
      </c>
      <c r="I134" t="s">
        <v>264</v>
      </c>
      <c r="J134" t="s">
        <v>265</v>
      </c>
      <c r="K134">
        <v>1119458</v>
      </c>
      <c r="L134" t="s">
        <v>266</v>
      </c>
      <c r="M134">
        <v>0</v>
      </c>
    </row>
    <row r="135" spans="1:13" x14ac:dyDescent="0.25">
      <c r="A135">
        <v>2003</v>
      </c>
      <c r="B135" t="s">
        <v>259</v>
      </c>
      <c r="C135">
        <v>27053</v>
      </c>
      <c r="D135" t="s">
        <v>274</v>
      </c>
      <c r="E135" t="s">
        <v>261</v>
      </c>
      <c r="F135" t="s">
        <v>270</v>
      </c>
      <c r="G135" t="s">
        <v>263</v>
      </c>
      <c r="H135">
        <v>340375.94227718201</v>
      </c>
      <c r="I135" t="s">
        <v>264</v>
      </c>
      <c r="J135" t="s">
        <v>265</v>
      </c>
      <c r="K135">
        <v>1119458</v>
      </c>
      <c r="L135" t="s">
        <v>266</v>
      </c>
      <c r="M135">
        <v>0.3</v>
      </c>
    </row>
    <row r="136" spans="1:13" x14ac:dyDescent="0.25">
      <c r="A136">
        <v>2003</v>
      </c>
      <c r="B136" t="s">
        <v>259</v>
      </c>
      <c r="C136">
        <v>27053</v>
      </c>
      <c r="D136" t="s">
        <v>274</v>
      </c>
      <c r="E136" t="s">
        <v>261</v>
      </c>
      <c r="F136" t="s">
        <v>270</v>
      </c>
      <c r="G136" t="s">
        <v>267</v>
      </c>
      <c r="H136">
        <v>978003.282023701</v>
      </c>
      <c r="I136" t="s">
        <v>264</v>
      </c>
      <c r="J136" t="s">
        <v>265</v>
      </c>
      <c r="K136">
        <v>1119458</v>
      </c>
      <c r="L136" t="s">
        <v>266</v>
      </c>
      <c r="M136">
        <v>0.87</v>
      </c>
    </row>
    <row r="137" spans="1:13" x14ac:dyDescent="0.25">
      <c r="A137">
        <v>2003</v>
      </c>
      <c r="B137" t="s">
        <v>259</v>
      </c>
      <c r="C137">
        <v>27053</v>
      </c>
      <c r="D137" t="s">
        <v>274</v>
      </c>
      <c r="E137" t="s">
        <v>261</v>
      </c>
      <c r="F137" t="s">
        <v>270</v>
      </c>
      <c r="G137" t="s">
        <v>269</v>
      </c>
      <c r="H137">
        <v>8.3430958765611702</v>
      </c>
      <c r="I137" t="s">
        <v>264</v>
      </c>
      <c r="J137" t="s">
        <v>265</v>
      </c>
      <c r="K137">
        <v>1119458</v>
      </c>
      <c r="L137" t="s">
        <v>266</v>
      </c>
      <c r="M137">
        <v>0</v>
      </c>
    </row>
    <row r="138" spans="1:13" x14ac:dyDescent="0.25">
      <c r="A138">
        <v>2003</v>
      </c>
      <c r="B138" t="s">
        <v>259</v>
      </c>
      <c r="C138">
        <v>27123</v>
      </c>
      <c r="D138" t="s">
        <v>275</v>
      </c>
      <c r="E138" t="s">
        <v>261</v>
      </c>
      <c r="F138" t="s">
        <v>262</v>
      </c>
      <c r="G138" t="s">
        <v>263</v>
      </c>
      <c r="H138">
        <v>1484230.4158159499</v>
      </c>
      <c r="I138" t="s">
        <v>264</v>
      </c>
      <c r="J138" t="s">
        <v>265</v>
      </c>
      <c r="K138">
        <v>505958</v>
      </c>
      <c r="L138" t="s">
        <v>266</v>
      </c>
      <c r="M138">
        <v>2.93</v>
      </c>
    </row>
    <row r="139" spans="1:13" x14ac:dyDescent="0.25">
      <c r="A139">
        <v>2003</v>
      </c>
      <c r="B139" t="s">
        <v>259</v>
      </c>
      <c r="C139">
        <v>27123</v>
      </c>
      <c r="D139" t="s">
        <v>275</v>
      </c>
      <c r="E139" t="s">
        <v>261</v>
      </c>
      <c r="F139" t="s">
        <v>262</v>
      </c>
      <c r="G139" t="s">
        <v>267</v>
      </c>
      <c r="H139">
        <v>23803.221055580601</v>
      </c>
      <c r="I139" t="s">
        <v>264</v>
      </c>
      <c r="J139" t="s">
        <v>265</v>
      </c>
      <c r="K139">
        <v>505958</v>
      </c>
      <c r="L139" t="s">
        <v>266</v>
      </c>
      <c r="M139">
        <v>0.05</v>
      </c>
    </row>
    <row r="140" spans="1:13" x14ac:dyDescent="0.25">
      <c r="A140">
        <v>2003</v>
      </c>
      <c r="B140" t="s">
        <v>259</v>
      </c>
      <c r="C140">
        <v>27123</v>
      </c>
      <c r="D140" t="s">
        <v>275</v>
      </c>
      <c r="E140" t="s">
        <v>261</v>
      </c>
      <c r="F140" t="s">
        <v>262</v>
      </c>
      <c r="G140" t="s">
        <v>269</v>
      </c>
      <c r="H140">
        <v>0</v>
      </c>
      <c r="I140" t="s">
        <v>264</v>
      </c>
      <c r="J140" t="s">
        <v>265</v>
      </c>
      <c r="K140">
        <v>505958</v>
      </c>
      <c r="L140" t="s">
        <v>266</v>
      </c>
      <c r="M140">
        <v>0</v>
      </c>
    </row>
    <row r="141" spans="1:13" x14ac:dyDescent="0.25">
      <c r="A141">
        <v>2003</v>
      </c>
      <c r="B141" t="s">
        <v>259</v>
      </c>
      <c r="C141">
        <v>27123</v>
      </c>
      <c r="D141" t="s">
        <v>275</v>
      </c>
      <c r="E141" t="s">
        <v>261</v>
      </c>
      <c r="F141" t="s">
        <v>268</v>
      </c>
      <c r="G141" t="s">
        <v>263</v>
      </c>
      <c r="H141">
        <v>2259.9783120416701</v>
      </c>
      <c r="I141" t="s">
        <v>264</v>
      </c>
      <c r="J141" t="s">
        <v>265</v>
      </c>
      <c r="K141">
        <v>505958</v>
      </c>
      <c r="L141" t="s">
        <v>266</v>
      </c>
      <c r="M141">
        <v>0</v>
      </c>
    </row>
    <row r="142" spans="1:13" x14ac:dyDescent="0.25">
      <c r="A142">
        <v>2003</v>
      </c>
      <c r="B142" t="s">
        <v>259</v>
      </c>
      <c r="C142">
        <v>27123</v>
      </c>
      <c r="D142" t="s">
        <v>275</v>
      </c>
      <c r="E142" t="s">
        <v>261</v>
      </c>
      <c r="F142" t="s">
        <v>268</v>
      </c>
      <c r="G142" t="s">
        <v>267</v>
      </c>
      <c r="H142">
        <v>18156.670888386499</v>
      </c>
      <c r="I142" t="s">
        <v>264</v>
      </c>
      <c r="J142" t="s">
        <v>265</v>
      </c>
      <c r="K142">
        <v>505958</v>
      </c>
      <c r="L142" t="s">
        <v>266</v>
      </c>
      <c r="M142">
        <v>0.04</v>
      </c>
    </row>
    <row r="143" spans="1:13" x14ac:dyDescent="0.25">
      <c r="A143">
        <v>2003</v>
      </c>
      <c r="B143" t="s">
        <v>259</v>
      </c>
      <c r="C143">
        <v>27123</v>
      </c>
      <c r="D143" t="s">
        <v>275</v>
      </c>
      <c r="E143" t="s">
        <v>261</v>
      </c>
      <c r="F143" t="s">
        <v>268</v>
      </c>
      <c r="G143" t="s">
        <v>269</v>
      </c>
      <c r="H143">
        <v>141.19613658185199</v>
      </c>
      <c r="I143" t="s">
        <v>264</v>
      </c>
      <c r="J143" t="s">
        <v>265</v>
      </c>
      <c r="K143">
        <v>505958</v>
      </c>
      <c r="L143" t="s">
        <v>266</v>
      </c>
      <c r="M143">
        <v>0</v>
      </c>
    </row>
    <row r="144" spans="1:13" x14ac:dyDescent="0.25">
      <c r="A144">
        <v>2003</v>
      </c>
      <c r="B144" t="s">
        <v>259</v>
      </c>
      <c r="C144">
        <v>27123</v>
      </c>
      <c r="D144" t="s">
        <v>275</v>
      </c>
      <c r="E144" t="s">
        <v>261</v>
      </c>
      <c r="F144" t="s">
        <v>270</v>
      </c>
      <c r="G144" t="s">
        <v>263</v>
      </c>
      <c r="H144">
        <v>140950.86331106801</v>
      </c>
      <c r="I144" t="s">
        <v>264</v>
      </c>
      <c r="J144" t="s">
        <v>265</v>
      </c>
      <c r="K144">
        <v>505958</v>
      </c>
      <c r="L144" t="s">
        <v>266</v>
      </c>
      <c r="M144">
        <v>0.28000000000000003</v>
      </c>
    </row>
    <row r="145" spans="1:13" x14ac:dyDescent="0.25">
      <c r="A145">
        <v>2003</v>
      </c>
      <c r="B145" t="s">
        <v>259</v>
      </c>
      <c r="C145">
        <v>27123</v>
      </c>
      <c r="D145" t="s">
        <v>275</v>
      </c>
      <c r="E145" t="s">
        <v>261</v>
      </c>
      <c r="F145" t="s">
        <v>270</v>
      </c>
      <c r="G145" t="s">
        <v>267</v>
      </c>
      <c r="H145">
        <v>410956.02942068799</v>
      </c>
      <c r="I145" t="s">
        <v>264</v>
      </c>
      <c r="J145" t="s">
        <v>265</v>
      </c>
      <c r="K145">
        <v>505958</v>
      </c>
      <c r="L145" t="s">
        <v>266</v>
      </c>
      <c r="M145">
        <v>0.81</v>
      </c>
    </row>
    <row r="146" spans="1:13" x14ac:dyDescent="0.25">
      <c r="A146">
        <v>2003</v>
      </c>
      <c r="B146" t="s">
        <v>259</v>
      </c>
      <c r="C146">
        <v>27123</v>
      </c>
      <c r="D146" t="s">
        <v>275</v>
      </c>
      <c r="E146" t="s">
        <v>261</v>
      </c>
      <c r="F146" t="s">
        <v>270</v>
      </c>
      <c r="G146" t="s">
        <v>269</v>
      </c>
      <c r="H146">
        <v>4.1216984745080296</v>
      </c>
      <c r="I146" t="s">
        <v>264</v>
      </c>
      <c r="J146" t="s">
        <v>265</v>
      </c>
      <c r="K146">
        <v>505958</v>
      </c>
      <c r="L146" t="s">
        <v>266</v>
      </c>
      <c r="M146">
        <v>0</v>
      </c>
    </row>
    <row r="147" spans="1:13" x14ac:dyDescent="0.25">
      <c r="A147">
        <v>2003</v>
      </c>
      <c r="B147" t="s">
        <v>259</v>
      </c>
      <c r="C147">
        <v>27139</v>
      </c>
      <c r="D147" t="s">
        <v>276</v>
      </c>
      <c r="E147" t="s">
        <v>261</v>
      </c>
      <c r="F147" t="s">
        <v>262</v>
      </c>
      <c r="G147" t="s">
        <v>263</v>
      </c>
      <c r="H147">
        <v>454748.10696520202</v>
      </c>
      <c r="I147" t="s">
        <v>264</v>
      </c>
      <c r="J147" t="s">
        <v>265</v>
      </c>
      <c r="K147">
        <v>107204</v>
      </c>
      <c r="L147" t="s">
        <v>266</v>
      </c>
      <c r="M147">
        <v>4.24</v>
      </c>
    </row>
    <row r="148" spans="1:13" x14ac:dyDescent="0.25">
      <c r="A148">
        <v>2003</v>
      </c>
      <c r="B148" t="s">
        <v>259</v>
      </c>
      <c r="C148">
        <v>27139</v>
      </c>
      <c r="D148" t="s">
        <v>276</v>
      </c>
      <c r="E148" t="s">
        <v>261</v>
      </c>
      <c r="F148" t="s">
        <v>262</v>
      </c>
      <c r="G148" t="s">
        <v>267</v>
      </c>
      <c r="H148">
        <v>21939.885452340201</v>
      </c>
      <c r="I148" t="s">
        <v>264</v>
      </c>
      <c r="J148" t="s">
        <v>265</v>
      </c>
      <c r="K148">
        <v>107204</v>
      </c>
      <c r="L148" t="s">
        <v>266</v>
      </c>
      <c r="M148">
        <v>0.2</v>
      </c>
    </row>
    <row r="149" spans="1:13" x14ac:dyDescent="0.25">
      <c r="A149">
        <v>2003</v>
      </c>
      <c r="B149" t="s">
        <v>259</v>
      </c>
      <c r="C149">
        <v>27139</v>
      </c>
      <c r="D149" t="s">
        <v>276</v>
      </c>
      <c r="E149" t="s">
        <v>261</v>
      </c>
      <c r="F149" t="s">
        <v>268</v>
      </c>
      <c r="G149" t="s">
        <v>263</v>
      </c>
      <c r="H149">
        <v>359.71074454819598</v>
      </c>
      <c r="I149" t="s">
        <v>264</v>
      </c>
      <c r="J149" t="s">
        <v>265</v>
      </c>
      <c r="K149">
        <v>107204</v>
      </c>
      <c r="L149" t="s">
        <v>266</v>
      </c>
      <c r="M149">
        <v>0</v>
      </c>
    </row>
    <row r="150" spans="1:13" x14ac:dyDescent="0.25">
      <c r="A150">
        <v>2003</v>
      </c>
      <c r="B150" t="s">
        <v>259</v>
      </c>
      <c r="C150">
        <v>27139</v>
      </c>
      <c r="D150" t="s">
        <v>276</v>
      </c>
      <c r="E150" t="s">
        <v>261</v>
      </c>
      <c r="F150" t="s">
        <v>268</v>
      </c>
      <c r="G150" t="s">
        <v>267</v>
      </c>
      <c r="H150">
        <v>5761.89006186807</v>
      </c>
      <c r="I150" t="s">
        <v>264</v>
      </c>
      <c r="J150" t="s">
        <v>265</v>
      </c>
      <c r="K150">
        <v>107204</v>
      </c>
      <c r="L150" t="s">
        <v>266</v>
      </c>
      <c r="M150">
        <v>0.05</v>
      </c>
    </row>
    <row r="151" spans="1:13" x14ac:dyDescent="0.25">
      <c r="A151">
        <v>2003</v>
      </c>
      <c r="B151" t="s">
        <v>259</v>
      </c>
      <c r="C151">
        <v>27139</v>
      </c>
      <c r="D151" t="s">
        <v>276</v>
      </c>
      <c r="E151" t="s">
        <v>261</v>
      </c>
      <c r="F151" t="s">
        <v>268</v>
      </c>
      <c r="G151" t="s">
        <v>269</v>
      </c>
      <c r="H151">
        <v>89.339349993647303</v>
      </c>
      <c r="I151" t="s">
        <v>264</v>
      </c>
      <c r="J151" t="s">
        <v>265</v>
      </c>
      <c r="K151">
        <v>107204</v>
      </c>
      <c r="L151" t="s">
        <v>266</v>
      </c>
      <c r="M151">
        <v>0</v>
      </c>
    </row>
    <row r="152" spans="1:13" x14ac:dyDescent="0.25">
      <c r="A152">
        <v>2003</v>
      </c>
      <c r="B152" t="s">
        <v>259</v>
      </c>
      <c r="C152">
        <v>27139</v>
      </c>
      <c r="D152" t="s">
        <v>276</v>
      </c>
      <c r="E152" t="s">
        <v>261</v>
      </c>
      <c r="F152" t="s">
        <v>270</v>
      </c>
      <c r="G152" t="s">
        <v>263</v>
      </c>
      <c r="H152">
        <v>29596.170865825199</v>
      </c>
      <c r="I152" t="s">
        <v>264</v>
      </c>
      <c r="J152" t="s">
        <v>265</v>
      </c>
      <c r="K152">
        <v>107204</v>
      </c>
      <c r="L152" t="s">
        <v>266</v>
      </c>
      <c r="M152">
        <v>0.28000000000000003</v>
      </c>
    </row>
    <row r="153" spans="1:13" x14ac:dyDescent="0.25">
      <c r="A153">
        <v>2003</v>
      </c>
      <c r="B153" t="s">
        <v>259</v>
      </c>
      <c r="C153">
        <v>27139</v>
      </c>
      <c r="D153" t="s">
        <v>276</v>
      </c>
      <c r="E153" t="s">
        <v>261</v>
      </c>
      <c r="F153" t="s">
        <v>270</v>
      </c>
      <c r="G153" t="s">
        <v>267</v>
      </c>
      <c r="H153">
        <v>125335.206479231</v>
      </c>
      <c r="I153" t="s">
        <v>264</v>
      </c>
      <c r="J153" t="s">
        <v>265</v>
      </c>
      <c r="K153">
        <v>107204</v>
      </c>
      <c r="L153" t="s">
        <v>266</v>
      </c>
      <c r="M153">
        <v>1.17</v>
      </c>
    </row>
    <row r="154" spans="1:13" x14ac:dyDescent="0.25">
      <c r="A154">
        <v>2003</v>
      </c>
      <c r="B154" t="s">
        <v>259</v>
      </c>
      <c r="C154">
        <v>27139</v>
      </c>
      <c r="D154" t="s">
        <v>276</v>
      </c>
      <c r="E154" t="s">
        <v>261</v>
      </c>
      <c r="F154" t="s">
        <v>270</v>
      </c>
      <c r="G154" t="s">
        <v>269</v>
      </c>
      <c r="H154">
        <v>0.93668905125734003</v>
      </c>
      <c r="I154" t="s">
        <v>264</v>
      </c>
      <c r="J154" t="s">
        <v>265</v>
      </c>
      <c r="K154">
        <v>107204</v>
      </c>
      <c r="L154" t="s">
        <v>266</v>
      </c>
      <c r="M154">
        <v>0</v>
      </c>
    </row>
    <row r="155" spans="1:13" x14ac:dyDescent="0.25">
      <c r="A155">
        <v>2003</v>
      </c>
      <c r="B155" t="s">
        <v>259</v>
      </c>
      <c r="C155">
        <v>27141</v>
      </c>
      <c r="D155" t="s">
        <v>277</v>
      </c>
      <c r="E155" t="s">
        <v>261</v>
      </c>
      <c r="F155" t="s">
        <v>262</v>
      </c>
      <c r="G155" t="s">
        <v>263</v>
      </c>
      <c r="H155">
        <v>311294.34278727602</v>
      </c>
      <c r="I155" t="s">
        <v>264</v>
      </c>
      <c r="J155" t="s">
        <v>265</v>
      </c>
      <c r="K155">
        <v>74771</v>
      </c>
      <c r="L155" t="s">
        <v>266</v>
      </c>
      <c r="M155">
        <v>4.16</v>
      </c>
    </row>
    <row r="156" spans="1:13" x14ac:dyDescent="0.25">
      <c r="A156">
        <v>2003</v>
      </c>
      <c r="B156" t="s">
        <v>259</v>
      </c>
      <c r="C156">
        <v>27141</v>
      </c>
      <c r="D156" t="s">
        <v>277</v>
      </c>
      <c r="E156" t="s">
        <v>261</v>
      </c>
      <c r="F156" t="s">
        <v>262</v>
      </c>
      <c r="G156" t="s">
        <v>267</v>
      </c>
      <c r="H156">
        <v>15985.2544438861</v>
      </c>
      <c r="I156" t="s">
        <v>264</v>
      </c>
      <c r="J156" t="s">
        <v>265</v>
      </c>
      <c r="K156">
        <v>74771</v>
      </c>
      <c r="L156" t="s">
        <v>266</v>
      </c>
      <c r="M156">
        <v>0.21</v>
      </c>
    </row>
    <row r="157" spans="1:13" x14ac:dyDescent="0.25">
      <c r="A157">
        <v>2003</v>
      </c>
      <c r="B157" t="s">
        <v>259</v>
      </c>
      <c r="C157">
        <v>27141</v>
      </c>
      <c r="D157" t="s">
        <v>277</v>
      </c>
      <c r="E157" t="s">
        <v>261</v>
      </c>
      <c r="F157" t="s">
        <v>262</v>
      </c>
      <c r="G157" t="s">
        <v>269</v>
      </c>
      <c r="H157">
        <v>0</v>
      </c>
      <c r="I157" t="s">
        <v>264</v>
      </c>
      <c r="J157" t="s">
        <v>265</v>
      </c>
      <c r="K157">
        <v>74771</v>
      </c>
      <c r="L157" t="s">
        <v>266</v>
      </c>
      <c r="M157">
        <v>0</v>
      </c>
    </row>
    <row r="158" spans="1:13" x14ac:dyDescent="0.25">
      <c r="A158">
        <v>2003</v>
      </c>
      <c r="B158" t="s">
        <v>259</v>
      </c>
      <c r="C158">
        <v>27141</v>
      </c>
      <c r="D158" t="s">
        <v>277</v>
      </c>
      <c r="E158" t="s">
        <v>261</v>
      </c>
      <c r="F158" t="s">
        <v>268</v>
      </c>
      <c r="G158" t="s">
        <v>263</v>
      </c>
      <c r="H158">
        <v>389.348900831246</v>
      </c>
      <c r="I158" t="s">
        <v>264</v>
      </c>
      <c r="J158" t="s">
        <v>265</v>
      </c>
      <c r="K158">
        <v>74771</v>
      </c>
      <c r="L158" t="s">
        <v>266</v>
      </c>
      <c r="M158">
        <v>0.01</v>
      </c>
    </row>
    <row r="159" spans="1:13" x14ac:dyDescent="0.25">
      <c r="A159">
        <v>2003</v>
      </c>
      <c r="B159" t="s">
        <v>259</v>
      </c>
      <c r="C159">
        <v>27141</v>
      </c>
      <c r="D159" t="s">
        <v>277</v>
      </c>
      <c r="E159" t="s">
        <v>261</v>
      </c>
      <c r="F159" t="s">
        <v>268</v>
      </c>
      <c r="G159" t="s">
        <v>267</v>
      </c>
      <c r="H159">
        <v>3567.8279175979301</v>
      </c>
      <c r="I159" t="s">
        <v>264</v>
      </c>
      <c r="J159" t="s">
        <v>265</v>
      </c>
      <c r="K159">
        <v>74771</v>
      </c>
      <c r="L159" t="s">
        <v>266</v>
      </c>
      <c r="M159">
        <v>0.05</v>
      </c>
    </row>
    <row r="160" spans="1:13" x14ac:dyDescent="0.25">
      <c r="A160">
        <v>2003</v>
      </c>
      <c r="B160" t="s">
        <v>259</v>
      </c>
      <c r="C160">
        <v>27141</v>
      </c>
      <c r="D160" t="s">
        <v>277</v>
      </c>
      <c r="E160" t="s">
        <v>261</v>
      </c>
      <c r="F160" t="s">
        <v>268</v>
      </c>
      <c r="G160" t="s">
        <v>269</v>
      </c>
      <c r="H160">
        <v>55.858396532759102</v>
      </c>
      <c r="I160" t="s">
        <v>264</v>
      </c>
      <c r="J160" t="s">
        <v>265</v>
      </c>
      <c r="K160">
        <v>74771</v>
      </c>
      <c r="L160" t="s">
        <v>266</v>
      </c>
      <c r="M160">
        <v>0</v>
      </c>
    </row>
    <row r="161" spans="1:13" x14ac:dyDescent="0.25">
      <c r="A161">
        <v>2003</v>
      </c>
      <c r="B161" t="s">
        <v>259</v>
      </c>
      <c r="C161">
        <v>27141</v>
      </c>
      <c r="D161" t="s">
        <v>277</v>
      </c>
      <c r="E161" t="s">
        <v>261</v>
      </c>
      <c r="F161" t="s">
        <v>270</v>
      </c>
      <c r="G161" t="s">
        <v>263</v>
      </c>
      <c r="H161">
        <v>20324.972434532901</v>
      </c>
      <c r="I161" t="s">
        <v>264</v>
      </c>
      <c r="J161" t="s">
        <v>265</v>
      </c>
      <c r="K161">
        <v>74771</v>
      </c>
      <c r="L161" t="s">
        <v>266</v>
      </c>
      <c r="M161">
        <v>0.27</v>
      </c>
    </row>
    <row r="162" spans="1:13" x14ac:dyDescent="0.25">
      <c r="A162">
        <v>2003</v>
      </c>
      <c r="B162" t="s">
        <v>259</v>
      </c>
      <c r="C162">
        <v>27141</v>
      </c>
      <c r="D162" t="s">
        <v>277</v>
      </c>
      <c r="E162" t="s">
        <v>261</v>
      </c>
      <c r="F162" t="s">
        <v>270</v>
      </c>
      <c r="G162" t="s">
        <v>267</v>
      </c>
      <c r="H162">
        <v>83551.4686424346</v>
      </c>
      <c r="I162" t="s">
        <v>264</v>
      </c>
      <c r="J162" t="s">
        <v>265</v>
      </c>
      <c r="K162">
        <v>74771</v>
      </c>
      <c r="L162" t="s">
        <v>266</v>
      </c>
      <c r="M162">
        <v>1.1200000000000001</v>
      </c>
    </row>
    <row r="163" spans="1:13" x14ac:dyDescent="0.25">
      <c r="A163">
        <v>2003</v>
      </c>
      <c r="B163" t="s">
        <v>259</v>
      </c>
      <c r="C163">
        <v>27141</v>
      </c>
      <c r="D163" t="s">
        <v>277</v>
      </c>
      <c r="E163" t="s">
        <v>261</v>
      </c>
      <c r="F163" t="s">
        <v>270</v>
      </c>
      <c r="G163" t="s">
        <v>269</v>
      </c>
      <c r="H163">
        <v>0.62611066377540003</v>
      </c>
      <c r="I163" t="s">
        <v>264</v>
      </c>
      <c r="J163" t="s">
        <v>265</v>
      </c>
      <c r="K163">
        <v>74771</v>
      </c>
      <c r="L163" t="s">
        <v>266</v>
      </c>
      <c r="M163">
        <v>0</v>
      </c>
    </row>
    <row r="164" spans="1:13" x14ac:dyDescent="0.25">
      <c r="A164">
        <v>2003</v>
      </c>
      <c r="B164" t="s">
        <v>259</v>
      </c>
      <c r="C164">
        <v>27163</v>
      </c>
      <c r="D164" t="s">
        <v>278</v>
      </c>
      <c r="E164" t="s">
        <v>261</v>
      </c>
      <c r="F164" t="s">
        <v>262</v>
      </c>
      <c r="G164" t="s">
        <v>263</v>
      </c>
      <c r="H164">
        <v>789645.80924979097</v>
      </c>
      <c r="I164" t="s">
        <v>264</v>
      </c>
      <c r="J164" t="s">
        <v>265</v>
      </c>
      <c r="K164">
        <v>213909</v>
      </c>
      <c r="L164" t="s">
        <v>266</v>
      </c>
      <c r="M164">
        <v>3.69</v>
      </c>
    </row>
    <row r="165" spans="1:13" x14ac:dyDescent="0.25">
      <c r="A165">
        <v>2003</v>
      </c>
      <c r="B165" t="s">
        <v>259</v>
      </c>
      <c r="C165">
        <v>27163</v>
      </c>
      <c r="D165" t="s">
        <v>278</v>
      </c>
      <c r="E165" t="s">
        <v>261</v>
      </c>
      <c r="F165" t="s">
        <v>262</v>
      </c>
      <c r="G165" t="s">
        <v>267</v>
      </c>
      <c r="H165">
        <v>27793.9326534785</v>
      </c>
      <c r="I165" t="s">
        <v>264</v>
      </c>
      <c r="J165" t="s">
        <v>265</v>
      </c>
      <c r="K165">
        <v>213909</v>
      </c>
      <c r="L165" t="s">
        <v>266</v>
      </c>
      <c r="M165">
        <v>0.13</v>
      </c>
    </row>
    <row r="166" spans="1:13" x14ac:dyDescent="0.25">
      <c r="A166">
        <v>2003</v>
      </c>
      <c r="B166" t="s">
        <v>259</v>
      </c>
      <c r="C166">
        <v>27163</v>
      </c>
      <c r="D166" t="s">
        <v>278</v>
      </c>
      <c r="E166" t="s">
        <v>261</v>
      </c>
      <c r="F166" t="s">
        <v>262</v>
      </c>
      <c r="G166" t="s">
        <v>269</v>
      </c>
      <c r="H166">
        <v>0</v>
      </c>
      <c r="I166" t="s">
        <v>264</v>
      </c>
      <c r="J166" t="s">
        <v>265</v>
      </c>
      <c r="K166">
        <v>213909</v>
      </c>
      <c r="L166" t="s">
        <v>266</v>
      </c>
      <c r="M166">
        <v>0</v>
      </c>
    </row>
    <row r="167" spans="1:13" x14ac:dyDescent="0.25">
      <c r="A167">
        <v>2003</v>
      </c>
      <c r="B167" t="s">
        <v>259</v>
      </c>
      <c r="C167">
        <v>27163</v>
      </c>
      <c r="D167" t="s">
        <v>278</v>
      </c>
      <c r="E167" t="s">
        <v>261</v>
      </c>
      <c r="F167" t="s">
        <v>268</v>
      </c>
      <c r="G167" t="s">
        <v>263</v>
      </c>
      <c r="H167">
        <v>793.15673689882203</v>
      </c>
      <c r="I167" t="s">
        <v>264</v>
      </c>
      <c r="J167" t="s">
        <v>265</v>
      </c>
      <c r="K167">
        <v>213909</v>
      </c>
      <c r="L167" t="s">
        <v>266</v>
      </c>
      <c r="M167">
        <v>0</v>
      </c>
    </row>
    <row r="168" spans="1:13" x14ac:dyDescent="0.25">
      <c r="A168">
        <v>2003</v>
      </c>
      <c r="B168" t="s">
        <v>259</v>
      </c>
      <c r="C168">
        <v>27163</v>
      </c>
      <c r="D168" t="s">
        <v>278</v>
      </c>
      <c r="E168" t="s">
        <v>261</v>
      </c>
      <c r="F168" t="s">
        <v>268</v>
      </c>
      <c r="G168" t="s">
        <v>267</v>
      </c>
      <c r="H168">
        <v>9705.9200630246305</v>
      </c>
      <c r="I168" t="s">
        <v>264</v>
      </c>
      <c r="J168" t="s">
        <v>265</v>
      </c>
      <c r="K168">
        <v>213909</v>
      </c>
      <c r="L168" t="s">
        <v>266</v>
      </c>
      <c r="M168">
        <v>0.05</v>
      </c>
    </row>
    <row r="169" spans="1:13" x14ac:dyDescent="0.25">
      <c r="A169">
        <v>2003</v>
      </c>
      <c r="B169" t="s">
        <v>259</v>
      </c>
      <c r="C169">
        <v>27163</v>
      </c>
      <c r="D169" t="s">
        <v>278</v>
      </c>
      <c r="E169" t="s">
        <v>261</v>
      </c>
      <c r="F169" t="s">
        <v>268</v>
      </c>
      <c r="G169" t="s">
        <v>269</v>
      </c>
      <c r="H169">
        <v>205.007806194144</v>
      </c>
      <c r="I169" t="s">
        <v>264</v>
      </c>
      <c r="J169" t="s">
        <v>265</v>
      </c>
      <c r="K169">
        <v>213909</v>
      </c>
      <c r="L169" t="s">
        <v>266</v>
      </c>
      <c r="M169">
        <v>0</v>
      </c>
    </row>
    <row r="170" spans="1:13" x14ac:dyDescent="0.25">
      <c r="A170">
        <v>2003</v>
      </c>
      <c r="B170" t="s">
        <v>259</v>
      </c>
      <c r="C170">
        <v>27163</v>
      </c>
      <c r="D170" t="s">
        <v>278</v>
      </c>
      <c r="E170" t="s">
        <v>261</v>
      </c>
      <c r="F170" t="s">
        <v>270</v>
      </c>
      <c r="G170" t="s">
        <v>263</v>
      </c>
      <c r="H170">
        <v>41987.630778365499</v>
      </c>
      <c r="I170" t="s">
        <v>264</v>
      </c>
      <c r="J170" t="s">
        <v>265</v>
      </c>
      <c r="K170">
        <v>213909</v>
      </c>
      <c r="L170" t="s">
        <v>266</v>
      </c>
      <c r="M170">
        <v>0.2</v>
      </c>
    </row>
    <row r="171" spans="1:13" x14ac:dyDescent="0.25">
      <c r="A171">
        <v>2003</v>
      </c>
      <c r="B171" t="s">
        <v>259</v>
      </c>
      <c r="C171">
        <v>27163</v>
      </c>
      <c r="D171" t="s">
        <v>278</v>
      </c>
      <c r="E171" t="s">
        <v>261</v>
      </c>
      <c r="F171" t="s">
        <v>270</v>
      </c>
      <c r="G171" t="s">
        <v>267</v>
      </c>
      <c r="H171">
        <v>218951.76870002699</v>
      </c>
      <c r="I171" t="s">
        <v>264</v>
      </c>
      <c r="J171" t="s">
        <v>265</v>
      </c>
      <c r="K171">
        <v>213909</v>
      </c>
      <c r="L171" t="s">
        <v>266</v>
      </c>
      <c r="M171">
        <v>1.02</v>
      </c>
    </row>
    <row r="172" spans="1:13" x14ac:dyDescent="0.25">
      <c r="A172">
        <v>2003</v>
      </c>
      <c r="B172" t="s">
        <v>259</v>
      </c>
      <c r="C172">
        <v>27163</v>
      </c>
      <c r="D172" t="s">
        <v>278</v>
      </c>
      <c r="E172" t="s">
        <v>261</v>
      </c>
      <c r="F172" t="s">
        <v>270</v>
      </c>
      <c r="G172" t="s">
        <v>269</v>
      </c>
      <c r="H172">
        <v>1.8881845296811699</v>
      </c>
      <c r="I172" t="s">
        <v>264</v>
      </c>
      <c r="J172" t="s">
        <v>265</v>
      </c>
      <c r="K172">
        <v>213909</v>
      </c>
      <c r="L172" t="s">
        <v>266</v>
      </c>
      <c r="M172">
        <v>0</v>
      </c>
    </row>
    <row r="173" spans="1:13" x14ac:dyDescent="0.25">
      <c r="A173">
        <v>2003</v>
      </c>
      <c r="B173" t="s">
        <v>259</v>
      </c>
      <c r="C173">
        <v>55093</v>
      </c>
      <c r="D173" t="s">
        <v>279</v>
      </c>
      <c r="E173" t="s">
        <v>261</v>
      </c>
      <c r="F173" t="s">
        <v>262</v>
      </c>
      <c r="G173" t="s">
        <v>263</v>
      </c>
      <c r="H173">
        <v>144509.57957981899</v>
      </c>
      <c r="I173" t="s">
        <v>264</v>
      </c>
      <c r="J173" t="s">
        <v>265</v>
      </c>
      <c r="K173">
        <v>38090</v>
      </c>
      <c r="L173" t="s">
        <v>266</v>
      </c>
      <c r="M173">
        <v>3.79</v>
      </c>
    </row>
    <row r="174" spans="1:13" x14ac:dyDescent="0.25">
      <c r="A174">
        <v>2003</v>
      </c>
      <c r="B174" t="s">
        <v>259</v>
      </c>
      <c r="C174">
        <v>55093</v>
      </c>
      <c r="D174" t="s">
        <v>279</v>
      </c>
      <c r="E174" t="s">
        <v>261</v>
      </c>
      <c r="F174" t="s">
        <v>262</v>
      </c>
      <c r="G174" t="s">
        <v>267</v>
      </c>
      <c r="H174">
        <v>8186.3743434988601</v>
      </c>
      <c r="I174" t="s">
        <v>264</v>
      </c>
      <c r="J174" t="s">
        <v>265</v>
      </c>
      <c r="K174">
        <v>38090</v>
      </c>
      <c r="L174" t="s">
        <v>266</v>
      </c>
      <c r="M174">
        <v>0.21</v>
      </c>
    </row>
    <row r="175" spans="1:13" x14ac:dyDescent="0.25">
      <c r="A175">
        <v>2003</v>
      </c>
      <c r="B175" t="s">
        <v>259</v>
      </c>
      <c r="C175">
        <v>55093</v>
      </c>
      <c r="D175" t="s">
        <v>279</v>
      </c>
      <c r="E175" t="s">
        <v>261</v>
      </c>
      <c r="F175" t="s">
        <v>262</v>
      </c>
      <c r="G175" t="s">
        <v>269</v>
      </c>
      <c r="H175">
        <v>0</v>
      </c>
      <c r="I175" t="s">
        <v>264</v>
      </c>
      <c r="J175" t="s">
        <v>265</v>
      </c>
      <c r="K175">
        <v>38090</v>
      </c>
      <c r="L175" t="s">
        <v>266</v>
      </c>
      <c r="M175">
        <v>0</v>
      </c>
    </row>
    <row r="176" spans="1:13" x14ac:dyDescent="0.25">
      <c r="A176">
        <v>2003</v>
      </c>
      <c r="B176" t="s">
        <v>259</v>
      </c>
      <c r="C176">
        <v>55093</v>
      </c>
      <c r="D176" t="s">
        <v>279</v>
      </c>
      <c r="E176" t="s">
        <v>261</v>
      </c>
      <c r="F176" t="s">
        <v>268</v>
      </c>
      <c r="G176" t="s">
        <v>263</v>
      </c>
      <c r="H176">
        <v>159.570699722136</v>
      </c>
      <c r="I176" t="s">
        <v>264</v>
      </c>
      <c r="J176" t="s">
        <v>265</v>
      </c>
      <c r="K176">
        <v>38090</v>
      </c>
      <c r="L176" t="s">
        <v>266</v>
      </c>
      <c r="M176">
        <v>0</v>
      </c>
    </row>
    <row r="177" spans="1:13" x14ac:dyDescent="0.25">
      <c r="A177">
        <v>2003</v>
      </c>
      <c r="B177" t="s">
        <v>259</v>
      </c>
      <c r="C177">
        <v>55093</v>
      </c>
      <c r="D177" t="s">
        <v>279</v>
      </c>
      <c r="E177" t="s">
        <v>261</v>
      </c>
      <c r="F177" t="s">
        <v>268</v>
      </c>
      <c r="G177" t="s">
        <v>267</v>
      </c>
      <c r="H177">
        <v>2358.30166935329</v>
      </c>
      <c r="I177" t="s">
        <v>264</v>
      </c>
      <c r="J177" t="s">
        <v>265</v>
      </c>
      <c r="K177">
        <v>38090</v>
      </c>
      <c r="L177" t="s">
        <v>266</v>
      </c>
      <c r="M177">
        <v>0.06</v>
      </c>
    </row>
    <row r="178" spans="1:13" x14ac:dyDescent="0.25">
      <c r="A178">
        <v>2003</v>
      </c>
      <c r="B178" t="s">
        <v>259</v>
      </c>
      <c r="C178">
        <v>55093</v>
      </c>
      <c r="D178" t="s">
        <v>279</v>
      </c>
      <c r="E178" t="s">
        <v>261</v>
      </c>
      <c r="F178" t="s">
        <v>268</v>
      </c>
      <c r="G178" t="s">
        <v>269</v>
      </c>
      <c r="H178">
        <v>37.903695304797601</v>
      </c>
      <c r="I178" t="s">
        <v>264</v>
      </c>
      <c r="J178" t="s">
        <v>265</v>
      </c>
      <c r="K178">
        <v>38090</v>
      </c>
      <c r="L178" t="s">
        <v>266</v>
      </c>
      <c r="M178">
        <v>0</v>
      </c>
    </row>
    <row r="179" spans="1:13" x14ac:dyDescent="0.25">
      <c r="A179">
        <v>2003</v>
      </c>
      <c r="B179" t="s">
        <v>259</v>
      </c>
      <c r="C179">
        <v>55093</v>
      </c>
      <c r="D179" t="s">
        <v>279</v>
      </c>
      <c r="E179" t="s">
        <v>261</v>
      </c>
      <c r="F179" t="s">
        <v>270</v>
      </c>
      <c r="G179" t="s">
        <v>263</v>
      </c>
      <c r="H179">
        <v>9792.8824804905998</v>
      </c>
      <c r="I179" t="s">
        <v>264</v>
      </c>
      <c r="J179" t="s">
        <v>265</v>
      </c>
      <c r="K179">
        <v>38090</v>
      </c>
      <c r="L179" t="s">
        <v>266</v>
      </c>
      <c r="M179">
        <v>0.26</v>
      </c>
    </row>
    <row r="180" spans="1:13" x14ac:dyDescent="0.25">
      <c r="A180">
        <v>2003</v>
      </c>
      <c r="B180" t="s">
        <v>259</v>
      </c>
      <c r="C180">
        <v>55093</v>
      </c>
      <c r="D180" t="s">
        <v>279</v>
      </c>
      <c r="E180" t="s">
        <v>261</v>
      </c>
      <c r="F180" t="s">
        <v>270</v>
      </c>
      <c r="G180" t="s">
        <v>267</v>
      </c>
      <c r="H180">
        <v>21398.827930032901</v>
      </c>
      <c r="I180" t="s">
        <v>264</v>
      </c>
      <c r="J180" t="s">
        <v>265</v>
      </c>
      <c r="K180">
        <v>38090</v>
      </c>
      <c r="L180" t="s">
        <v>266</v>
      </c>
      <c r="M180">
        <v>0.56000000000000005</v>
      </c>
    </row>
    <row r="181" spans="1:13" x14ac:dyDescent="0.25">
      <c r="A181">
        <v>2003</v>
      </c>
      <c r="B181" t="s">
        <v>259</v>
      </c>
      <c r="C181">
        <v>55093</v>
      </c>
      <c r="D181" t="s">
        <v>279</v>
      </c>
      <c r="E181" t="s">
        <v>261</v>
      </c>
      <c r="F181" t="s">
        <v>270</v>
      </c>
      <c r="G181" t="s">
        <v>269</v>
      </c>
      <c r="H181">
        <v>1.17776013247228</v>
      </c>
      <c r="I181" t="s">
        <v>264</v>
      </c>
      <c r="J181" t="s">
        <v>265</v>
      </c>
      <c r="K181">
        <v>38090</v>
      </c>
      <c r="L181" t="s">
        <v>266</v>
      </c>
      <c r="M181">
        <v>0</v>
      </c>
    </row>
    <row r="182" spans="1:13" x14ac:dyDescent="0.25">
      <c r="A182">
        <v>2003</v>
      </c>
      <c r="B182" t="s">
        <v>259</v>
      </c>
      <c r="C182">
        <v>55109</v>
      </c>
      <c r="D182" t="s">
        <v>280</v>
      </c>
      <c r="E182" t="s">
        <v>261</v>
      </c>
      <c r="F182" t="s">
        <v>262</v>
      </c>
      <c r="G182" t="s">
        <v>263</v>
      </c>
      <c r="H182">
        <v>440970.80501096498</v>
      </c>
      <c r="I182" t="s">
        <v>264</v>
      </c>
      <c r="J182" t="s">
        <v>265</v>
      </c>
      <c r="K182">
        <v>71076</v>
      </c>
      <c r="L182" t="s">
        <v>266</v>
      </c>
      <c r="M182">
        <v>6.2</v>
      </c>
    </row>
    <row r="183" spans="1:13" x14ac:dyDescent="0.25">
      <c r="A183">
        <v>2003</v>
      </c>
      <c r="B183" t="s">
        <v>259</v>
      </c>
      <c r="C183">
        <v>55109</v>
      </c>
      <c r="D183" t="s">
        <v>280</v>
      </c>
      <c r="E183" t="s">
        <v>261</v>
      </c>
      <c r="F183" t="s">
        <v>262</v>
      </c>
      <c r="G183" t="s">
        <v>267</v>
      </c>
      <c r="H183">
        <v>24846.8385963779</v>
      </c>
      <c r="I183" t="s">
        <v>264</v>
      </c>
      <c r="J183" t="s">
        <v>265</v>
      </c>
      <c r="K183">
        <v>71076</v>
      </c>
      <c r="L183" t="s">
        <v>266</v>
      </c>
      <c r="M183">
        <v>0.35</v>
      </c>
    </row>
    <row r="184" spans="1:13" x14ac:dyDescent="0.25">
      <c r="A184">
        <v>2003</v>
      </c>
      <c r="B184" t="s">
        <v>259</v>
      </c>
      <c r="C184">
        <v>55109</v>
      </c>
      <c r="D184" t="s">
        <v>280</v>
      </c>
      <c r="E184" t="s">
        <v>261</v>
      </c>
      <c r="F184" t="s">
        <v>268</v>
      </c>
      <c r="G184" t="s">
        <v>263</v>
      </c>
      <c r="H184">
        <v>541.21731179874701</v>
      </c>
      <c r="I184" t="s">
        <v>264</v>
      </c>
      <c r="J184" t="s">
        <v>265</v>
      </c>
      <c r="K184">
        <v>71076</v>
      </c>
      <c r="L184" t="s">
        <v>266</v>
      </c>
      <c r="M184">
        <v>0.01</v>
      </c>
    </row>
    <row r="185" spans="1:13" x14ac:dyDescent="0.25">
      <c r="A185">
        <v>2003</v>
      </c>
      <c r="B185" t="s">
        <v>259</v>
      </c>
      <c r="C185">
        <v>55109</v>
      </c>
      <c r="D185" t="s">
        <v>280</v>
      </c>
      <c r="E185" t="s">
        <v>261</v>
      </c>
      <c r="F185" t="s">
        <v>268</v>
      </c>
      <c r="G185" t="s">
        <v>267</v>
      </c>
      <c r="H185">
        <v>6851.5325835371596</v>
      </c>
      <c r="I185" t="s">
        <v>264</v>
      </c>
      <c r="J185" t="s">
        <v>265</v>
      </c>
      <c r="K185">
        <v>71076</v>
      </c>
      <c r="L185" t="s">
        <v>266</v>
      </c>
      <c r="M185">
        <v>0.1</v>
      </c>
    </row>
    <row r="186" spans="1:13" x14ac:dyDescent="0.25">
      <c r="A186">
        <v>2003</v>
      </c>
      <c r="B186" t="s">
        <v>259</v>
      </c>
      <c r="C186">
        <v>55109</v>
      </c>
      <c r="D186" t="s">
        <v>280</v>
      </c>
      <c r="E186" t="s">
        <v>261</v>
      </c>
      <c r="F186" t="s">
        <v>268</v>
      </c>
      <c r="G186" t="s">
        <v>269</v>
      </c>
      <c r="H186">
        <v>66.969138138485206</v>
      </c>
      <c r="I186" t="s">
        <v>264</v>
      </c>
      <c r="J186" t="s">
        <v>265</v>
      </c>
      <c r="K186">
        <v>71076</v>
      </c>
      <c r="L186" t="s">
        <v>266</v>
      </c>
      <c r="M186">
        <v>0</v>
      </c>
    </row>
    <row r="187" spans="1:13" x14ac:dyDescent="0.25">
      <c r="A187">
        <v>2003</v>
      </c>
      <c r="B187" t="s">
        <v>259</v>
      </c>
      <c r="C187">
        <v>55109</v>
      </c>
      <c r="D187" t="s">
        <v>280</v>
      </c>
      <c r="E187" t="s">
        <v>261</v>
      </c>
      <c r="F187" t="s">
        <v>270</v>
      </c>
      <c r="G187" t="s">
        <v>263</v>
      </c>
      <c r="H187">
        <v>31463.936646959501</v>
      </c>
      <c r="I187" t="s">
        <v>264</v>
      </c>
      <c r="J187" t="s">
        <v>265</v>
      </c>
      <c r="K187">
        <v>71076</v>
      </c>
      <c r="L187" t="s">
        <v>266</v>
      </c>
      <c r="M187">
        <v>0.44</v>
      </c>
    </row>
    <row r="188" spans="1:13" x14ac:dyDescent="0.25">
      <c r="A188">
        <v>2003</v>
      </c>
      <c r="B188" t="s">
        <v>259</v>
      </c>
      <c r="C188">
        <v>55109</v>
      </c>
      <c r="D188" t="s">
        <v>280</v>
      </c>
      <c r="E188" t="s">
        <v>261</v>
      </c>
      <c r="F188" t="s">
        <v>270</v>
      </c>
      <c r="G188" t="s">
        <v>267</v>
      </c>
      <c r="H188">
        <v>144946.05133618199</v>
      </c>
      <c r="I188" t="s">
        <v>264</v>
      </c>
      <c r="J188" t="s">
        <v>265</v>
      </c>
      <c r="K188">
        <v>71076</v>
      </c>
      <c r="L188" t="s">
        <v>266</v>
      </c>
      <c r="M188">
        <v>2.04</v>
      </c>
    </row>
    <row r="189" spans="1:13" x14ac:dyDescent="0.25">
      <c r="A189">
        <v>2003</v>
      </c>
      <c r="B189" t="s">
        <v>259</v>
      </c>
      <c r="C189">
        <v>55109</v>
      </c>
      <c r="D189" t="s">
        <v>280</v>
      </c>
      <c r="E189" t="s">
        <v>261</v>
      </c>
      <c r="F189" t="s">
        <v>270</v>
      </c>
      <c r="G189" t="s">
        <v>269</v>
      </c>
      <c r="H189">
        <v>3.80663920436522</v>
      </c>
      <c r="I189" t="s">
        <v>264</v>
      </c>
      <c r="J189" t="s">
        <v>265</v>
      </c>
      <c r="K189">
        <v>71076</v>
      </c>
      <c r="L189" t="s">
        <v>266</v>
      </c>
      <c r="M189">
        <v>0</v>
      </c>
    </row>
    <row r="190" spans="1:13" x14ac:dyDescent="0.25">
      <c r="A190">
        <v>2004</v>
      </c>
      <c r="B190" t="s">
        <v>259</v>
      </c>
      <c r="C190">
        <v>27003</v>
      </c>
      <c r="D190" t="s">
        <v>260</v>
      </c>
      <c r="E190" t="s">
        <v>261</v>
      </c>
      <c r="F190" t="s">
        <v>262</v>
      </c>
      <c r="G190" t="s">
        <v>263</v>
      </c>
      <c r="H190">
        <v>1037153.52267248</v>
      </c>
      <c r="I190" t="s">
        <v>264</v>
      </c>
      <c r="J190" t="s">
        <v>265</v>
      </c>
      <c r="K190">
        <v>316643</v>
      </c>
      <c r="L190" t="s">
        <v>266</v>
      </c>
      <c r="M190">
        <v>3.28</v>
      </c>
    </row>
    <row r="191" spans="1:13" x14ac:dyDescent="0.25">
      <c r="A191">
        <v>2004</v>
      </c>
      <c r="B191" t="s">
        <v>259</v>
      </c>
      <c r="C191">
        <v>27003</v>
      </c>
      <c r="D191" t="s">
        <v>260</v>
      </c>
      <c r="E191" t="s">
        <v>261</v>
      </c>
      <c r="F191" t="s">
        <v>262</v>
      </c>
      <c r="G191" t="s">
        <v>267</v>
      </c>
      <c r="H191">
        <v>31474.147398438399</v>
      </c>
      <c r="I191" t="s">
        <v>264</v>
      </c>
      <c r="J191" t="s">
        <v>265</v>
      </c>
      <c r="K191">
        <v>316643</v>
      </c>
      <c r="L191" t="s">
        <v>266</v>
      </c>
      <c r="M191">
        <v>0.1</v>
      </c>
    </row>
    <row r="192" spans="1:13" x14ac:dyDescent="0.25">
      <c r="A192">
        <v>2004</v>
      </c>
      <c r="B192" t="s">
        <v>259</v>
      </c>
      <c r="C192">
        <v>27003</v>
      </c>
      <c r="D192" t="s">
        <v>260</v>
      </c>
      <c r="E192" t="s">
        <v>261</v>
      </c>
      <c r="F192" t="s">
        <v>268</v>
      </c>
      <c r="G192" t="s">
        <v>263</v>
      </c>
      <c r="H192">
        <v>856.30841900079599</v>
      </c>
      <c r="I192" t="s">
        <v>264</v>
      </c>
      <c r="J192" t="s">
        <v>265</v>
      </c>
      <c r="K192">
        <v>316643</v>
      </c>
      <c r="L192" t="s">
        <v>266</v>
      </c>
      <c r="M192">
        <v>0</v>
      </c>
    </row>
    <row r="193" spans="1:13" x14ac:dyDescent="0.25">
      <c r="A193">
        <v>2004</v>
      </c>
      <c r="B193" t="s">
        <v>259</v>
      </c>
      <c r="C193">
        <v>27003</v>
      </c>
      <c r="D193" t="s">
        <v>260</v>
      </c>
      <c r="E193" t="s">
        <v>261</v>
      </c>
      <c r="F193" t="s">
        <v>268</v>
      </c>
      <c r="G193" t="s">
        <v>267</v>
      </c>
      <c r="H193">
        <v>14088.336437260101</v>
      </c>
      <c r="I193" t="s">
        <v>264</v>
      </c>
      <c r="J193" t="s">
        <v>265</v>
      </c>
      <c r="K193">
        <v>316643</v>
      </c>
      <c r="L193" t="s">
        <v>266</v>
      </c>
      <c r="M193">
        <v>0.04</v>
      </c>
    </row>
    <row r="194" spans="1:13" x14ac:dyDescent="0.25">
      <c r="A194">
        <v>2004</v>
      </c>
      <c r="B194" t="s">
        <v>259</v>
      </c>
      <c r="C194">
        <v>27003</v>
      </c>
      <c r="D194" t="s">
        <v>260</v>
      </c>
      <c r="E194" t="s">
        <v>261</v>
      </c>
      <c r="F194" t="s">
        <v>268</v>
      </c>
      <c r="G194" t="s">
        <v>269</v>
      </c>
      <c r="H194">
        <v>15.442566707017701</v>
      </c>
      <c r="I194" t="s">
        <v>264</v>
      </c>
      <c r="J194" t="s">
        <v>265</v>
      </c>
      <c r="K194">
        <v>316643</v>
      </c>
      <c r="L194" t="s">
        <v>266</v>
      </c>
      <c r="M194">
        <v>0</v>
      </c>
    </row>
    <row r="195" spans="1:13" x14ac:dyDescent="0.25">
      <c r="A195">
        <v>2004</v>
      </c>
      <c r="B195" t="s">
        <v>259</v>
      </c>
      <c r="C195">
        <v>27003</v>
      </c>
      <c r="D195" t="s">
        <v>260</v>
      </c>
      <c r="E195" t="s">
        <v>261</v>
      </c>
      <c r="F195" t="s">
        <v>270</v>
      </c>
      <c r="G195" t="s">
        <v>263</v>
      </c>
      <c r="H195">
        <v>83334.702947861399</v>
      </c>
      <c r="I195" t="s">
        <v>264</v>
      </c>
      <c r="J195" t="s">
        <v>265</v>
      </c>
      <c r="K195">
        <v>316643</v>
      </c>
      <c r="L195" t="s">
        <v>266</v>
      </c>
      <c r="M195">
        <v>0.26</v>
      </c>
    </row>
    <row r="196" spans="1:13" x14ac:dyDescent="0.25">
      <c r="A196">
        <v>2004</v>
      </c>
      <c r="B196" t="s">
        <v>259</v>
      </c>
      <c r="C196">
        <v>27003</v>
      </c>
      <c r="D196" t="s">
        <v>260</v>
      </c>
      <c r="E196" t="s">
        <v>261</v>
      </c>
      <c r="F196" t="s">
        <v>270</v>
      </c>
      <c r="G196" t="s">
        <v>267</v>
      </c>
      <c r="H196">
        <v>280035.75916047598</v>
      </c>
      <c r="I196" t="s">
        <v>264</v>
      </c>
      <c r="J196" t="s">
        <v>265</v>
      </c>
      <c r="K196">
        <v>316643</v>
      </c>
      <c r="L196" t="s">
        <v>266</v>
      </c>
      <c r="M196">
        <v>0.88</v>
      </c>
    </row>
    <row r="197" spans="1:13" x14ac:dyDescent="0.25">
      <c r="A197">
        <v>2004</v>
      </c>
      <c r="B197" t="s">
        <v>259</v>
      </c>
      <c r="C197">
        <v>27003</v>
      </c>
      <c r="D197" t="s">
        <v>260</v>
      </c>
      <c r="E197" t="s">
        <v>261</v>
      </c>
      <c r="F197" t="s">
        <v>270</v>
      </c>
      <c r="G197" t="s">
        <v>269</v>
      </c>
      <c r="H197">
        <v>2.0154011192963202</v>
      </c>
      <c r="I197" t="s">
        <v>264</v>
      </c>
      <c r="J197" t="s">
        <v>265</v>
      </c>
      <c r="K197">
        <v>316643</v>
      </c>
      <c r="L197" t="s">
        <v>266</v>
      </c>
      <c r="M197">
        <v>0</v>
      </c>
    </row>
    <row r="198" spans="1:13" x14ac:dyDescent="0.25">
      <c r="A198">
        <v>2004</v>
      </c>
      <c r="B198" t="s">
        <v>259</v>
      </c>
      <c r="C198">
        <v>27019</v>
      </c>
      <c r="D198" t="s">
        <v>271</v>
      </c>
      <c r="E198" t="s">
        <v>261</v>
      </c>
      <c r="F198" t="s">
        <v>262</v>
      </c>
      <c r="G198" t="s">
        <v>263</v>
      </c>
      <c r="H198">
        <v>315517.66819272598</v>
      </c>
      <c r="I198" t="s">
        <v>264</v>
      </c>
      <c r="J198" t="s">
        <v>265</v>
      </c>
      <c r="K198">
        <v>80473</v>
      </c>
      <c r="L198" t="s">
        <v>266</v>
      </c>
      <c r="M198">
        <v>3.92</v>
      </c>
    </row>
    <row r="199" spans="1:13" x14ac:dyDescent="0.25">
      <c r="A199">
        <v>2004</v>
      </c>
      <c r="B199" t="s">
        <v>259</v>
      </c>
      <c r="C199">
        <v>27019</v>
      </c>
      <c r="D199" t="s">
        <v>271</v>
      </c>
      <c r="E199" t="s">
        <v>261</v>
      </c>
      <c r="F199" t="s">
        <v>262</v>
      </c>
      <c r="G199" t="s">
        <v>267</v>
      </c>
      <c r="H199">
        <v>13353.7766711801</v>
      </c>
      <c r="I199" t="s">
        <v>264</v>
      </c>
      <c r="J199" t="s">
        <v>265</v>
      </c>
      <c r="K199">
        <v>80473</v>
      </c>
      <c r="L199" t="s">
        <v>266</v>
      </c>
      <c r="M199">
        <v>0.17</v>
      </c>
    </row>
    <row r="200" spans="1:13" x14ac:dyDescent="0.25">
      <c r="A200">
        <v>2004</v>
      </c>
      <c r="B200" t="s">
        <v>259</v>
      </c>
      <c r="C200">
        <v>27019</v>
      </c>
      <c r="D200" t="s">
        <v>271</v>
      </c>
      <c r="E200" t="s">
        <v>261</v>
      </c>
      <c r="F200" t="s">
        <v>268</v>
      </c>
      <c r="G200" t="s">
        <v>263</v>
      </c>
      <c r="H200">
        <v>214.12888818347699</v>
      </c>
      <c r="I200" t="s">
        <v>264</v>
      </c>
      <c r="J200" t="s">
        <v>265</v>
      </c>
      <c r="K200">
        <v>80473</v>
      </c>
      <c r="L200" t="s">
        <v>266</v>
      </c>
      <c r="M200">
        <v>0</v>
      </c>
    </row>
    <row r="201" spans="1:13" x14ac:dyDescent="0.25">
      <c r="A201">
        <v>2004</v>
      </c>
      <c r="B201" t="s">
        <v>259</v>
      </c>
      <c r="C201">
        <v>27019</v>
      </c>
      <c r="D201" t="s">
        <v>271</v>
      </c>
      <c r="E201" t="s">
        <v>261</v>
      </c>
      <c r="F201" t="s">
        <v>268</v>
      </c>
      <c r="G201" t="s">
        <v>267</v>
      </c>
      <c r="H201">
        <v>4095.5315166948099</v>
      </c>
      <c r="I201" t="s">
        <v>264</v>
      </c>
      <c r="J201" t="s">
        <v>265</v>
      </c>
      <c r="K201">
        <v>80473</v>
      </c>
      <c r="L201" t="s">
        <v>266</v>
      </c>
      <c r="M201">
        <v>0.05</v>
      </c>
    </row>
    <row r="202" spans="1:13" x14ac:dyDescent="0.25">
      <c r="A202">
        <v>2004</v>
      </c>
      <c r="B202" t="s">
        <v>259</v>
      </c>
      <c r="C202">
        <v>27019</v>
      </c>
      <c r="D202" t="s">
        <v>271</v>
      </c>
      <c r="E202" t="s">
        <v>261</v>
      </c>
      <c r="F202" t="s">
        <v>268</v>
      </c>
      <c r="G202" t="s">
        <v>269</v>
      </c>
      <c r="H202">
        <v>149.25513157891001</v>
      </c>
      <c r="I202" t="s">
        <v>264</v>
      </c>
      <c r="J202" t="s">
        <v>265</v>
      </c>
      <c r="K202">
        <v>80473</v>
      </c>
      <c r="L202" t="s">
        <v>266</v>
      </c>
      <c r="M202">
        <v>0</v>
      </c>
    </row>
    <row r="203" spans="1:13" x14ac:dyDescent="0.25">
      <c r="A203">
        <v>2004</v>
      </c>
      <c r="B203" t="s">
        <v>259</v>
      </c>
      <c r="C203">
        <v>27019</v>
      </c>
      <c r="D203" t="s">
        <v>271</v>
      </c>
      <c r="E203" t="s">
        <v>261</v>
      </c>
      <c r="F203" t="s">
        <v>270</v>
      </c>
      <c r="G203" t="s">
        <v>263</v>
      </c>
      <c r="H203">
        <v>17251.7108566397</v>
      </c>
      <c r="I203" t="s">
        <v>264</v>
      </c>
      <c r="J203" t="s">
        <v>265</v>
      </c>
      <c r="K203">
        <v>80473</v>
      </c>
      <c r="L203" t="s">
        <v>266</v>
      </c>
      <c r="M203">
        <v>0.21</v>
      </c>
    </row>
    <row r="204" spans="1:13" x14ac:dyDescent="0.25">
      <c r="A204">
        <v>2004</v>
      </c>
      <c r="B204" t="s">
        <v>259</v>
      </c>
      <c r="C204">
        <v>27019</v>
      </c>
      <c r="D204" t="s">
        <v>271</v>
      </c>
      <c r="E204" t="s">
        <v>261</v>
      </c>
      <c r="F204" t="s">
        <v>270</v>
      </c>
      <c r="G204" t="s">
        <v>267</v>
      </c>
      <c r="H204">
        <v>86220.8951555604</v>
      </c>
      <c r="I204" t="s">
        <v>264</v>
      </c>
      <c r="J204" t="s">
        <v>265</v>
      </c>
      <c r="K204">
        <v>80473</v>
      </c>
      <c r="L204" t="s">
        <v>266</v>
      </c>
      <c r="M204">
        <v>1.07</v>
      </c>
    </row>
    <row r="205" spans="1:13" x14ac:dyDescent="0.25">
      <c r="A205">
        <v>2004</v>
      </c>
      <c r="B205" t="s">
        <v>259</v>
      </c>
      <c r="C205">
        <v>27019</v>
      </c>
      <c r="D205" t="s">
        <v>271</v>
      </c>
      <c r="E205" t="s">
        <v>261</v>
      </c>
      <c r="F205" t="s">
        <v>270</v>
      </c>
      <c r="G205" t="s">
        <v>269</v>
      </c>
      <c r="H205">
        <v>1.0520711697201699</v>
      </c>
      <c r="I205" t="s">
        <v>264</v>
      </c>
      <c r="J205" t="s">
        <v>265</v>
      </c>
      <c r="K205">
        <v>80473</v>
      </c>
      <c r="L205" t="s">
        <v>266</v>
      </c>
      <c r="M205">
        <v>0</v>
      </c>
    </row>
    <row r="206" spans="1:13" x14ac:dyDescent="0.25">
      <c r="A206">
        <v>2004</v>
      </c>
      <c r="B206" t="s">
        <v>259</v>
      </c>
      <c r="C206">
        <v>27025</v>
      </c>
      <c r="D206" t="s">
        <v>272</v>
      </c>
      <c r="E206" t="s">
        <v>261</v>
      </c>
      <c r="F206" t="s">
        <v>262</v>
      </c>
      <c r="G206" t="s">
        <v>263</v>
      </c>
      <c r="H206">
        <v>291171.88478381198</v>
      </c>
      <c r="I206" t="s">
        <v>264</v>
      </c>
      <c r="J206" t="s">
        <v>265</v>
      </c>
      <c r="K206">
        <v>49054</v>
      </c>
      <c r="L206" t="s">
        <v>266</v>
      </c>
      <c r="M206">
        <v>5.94</v>
      </c>
    </row>
    <row r="207" spans="1:13" x14ac:dyDescent="0.25">
      <c r="A207">
        <v>2004</v>
      </c>
      <c r="B207" t="s">
        <v>259</v>
      </c>
      <c r="C207">
        <v>27025</v>
      </c>
      <c r="D207" t="s">
        <v>272</v>
      </c>
      <c r="E207" t="s">
        <v>261</v>
      </c>
      <c r="F207" t="s">
        <v>262</v>
      </c>
      <c r="G207" t="s">
        <v>267</v>
      </c>
      <c r="H207">
        <v>17081.3708517698</v>
      </c>
      <c r="I207" t="s">
        <v>264</v>
      </c>
      <c r="J207" t="s">
        <v>265</v>
      </c>
      <c r="K207">
        <v>49054</v>
      </c>
      <c r="L207" t="s">
        <v>266</v>
      </c>
      <c r="M207">
        <v>0.35</v>
      </c>
    </row>
    <row r="208" spans="1:13" x14ac:dyDescent="0.25">
      <c r="A208">
        <v>2004</v>
      </c>
      <c r="B208" t="s">
        <v>259</v>
      </c>
      <c r="C208">
        <v>27025</v>
      </c>
      <c r="D208" t="s">
        <v>272</v>
      </c>
      <c r="E208" t="s">
        <v>261</v>
      </c>
      <c r="F208" t="s">
        <v>268</v>
      </c>
      <c r="G208" t="s">
        <v>263</v>
      </c>
      <c r="H208">
        <v>694.45187882825701</v>
      </c>
      <c r="I208" t="s">
        <v>264</v>
      </c>
      <c r="J208" t="s">
        <v>265</v>
      </c>
      <c r="K208">
        <v>49054</v>
      </c>
      <c r="L208" t="s">
        <v>266</v>
      </c>
      <c r="M208">
        <v>0.01</v>
      </c>
    </row>
    <row r="209" spans="1:13" x14ac:dyDescent="0.25">
      <c r="A209">
        <v>2004</v>
      </c>
      <c r="B209" t="s">
        <v>259</v>
      </c>
      <c r="C209">
        <v>27025</v>
      </c>
      <c r="D209" t="s">
        <v>272</v>
      </c>
      <c r="E209" t="s">
        <v>261</v>
      </c>
      <c r="F209" t="s">
        <v>268</v>
      </c>
      <c r="G209" t="s">
        <v>267</v>
      </c>
      <c r="H209">
        <v>3329.9259299279602</v>
      </c>
      <c r="I209" t="s">
        <v>264</v>
      </c>
      <c r="J209" t="s">
        <v>265</v>
      </c>
      <c r="K209">
        <v>49054</v>
      </c>
      <c r="L209" t="s">
        <v>266</v>
      </c>
      <c r="M209">
        <v>7.0000000000000007E-2</v>
      </c>
    </row>
    <row r="210" spans="1:13" x14ac:dyDescent="0.25">
      <c r="A210">
        <v>2004</v>
      </c>
      <c r="B210" t="s">
        <v>259</v>
      </c>
      <c r="C210">
        <v>27025</v>
      </c>
      <c r="D210" t="s">
        <v>272</v>
      </c>
      <c r="E210" t="s">
        <v>261</v>
      </c>
      <c r="F210" t="s">
        <v>268</v>
      </c>
      <c r="G210" t="s">
        <v>269</v>
      </c>
      <c r="H210">
        <v>70.339697106962305</v>
      </c>
      <c r="I210" t="s">
        <v>264</v>
      </c>
      <c r="J210" t="s">
        <v>265</v>
      </c>
      <c r="K210">
        <v>49054</v>
      </c>
      <c r="L210" t="s">
        <v>266</v>
      </c>
      <c r="M210">
        <v>0</v>
      </c>
    </row>
    <row r="211" spans="1:13" x14ac:dyDescent="0.25">
      <c r="A211">
        <v>2004</v>
      </c>
      <c r="B211" t="s">
        <v>259</v>
      </c>
      <c r="C211">
        <v>27025</v>
      </c>
      <c r="D211" t="s">
        <v>272</v>
      </c>
      <c r="E211" t="s">
        <v>261</v>
      </c>
      <c r="F211" t="s">
        <v>270</v>
      </c>
      <c r="G211" t="s">
        <v>263</v>
      </c>
      <c r="H211">
        <v>14211.437282672199</v>
      </c>
      <c r="I211" t="s">
        <v>264</v>
      </c>
      <c r="J211" t="s">
        <v>265</v>
      </c>
      <c r="K211">
        <v>49054</v>
      </c>
      <c r="L211" t="s">
        <v>266</v>
      </c>
      <c r="M211">
        <v>0.28999999999999998</v>
      </c>
    </row>
    <row r="212" spans="1:13" x14ac:dyDescent="0.25">
      <c r="A212">
        <v>2004</v>
      </c>
      <c r="B212" t="s">
        <v>259</v>
      </c>
      <c r="C212">
        <v>27025</v>
      </c>
      <c r="D212" t="s">
        <v>272</v>
      </c>
      <c r="E212" t="s">
        <v>261</v>
      </c>
      <c r="F212" t="s">
        <v>270</v>
      </c>
      <c r="G212" t="s">
        <v>267</v>
      </c>
      <c r="H212">
        <v>77632.534854094396</v>
      </c>
      <c r="I212" t="s">
        <v>264</v>
      </c>
      <c r="J212" t="s">
        <v>265</v>
      </c>
      <c r="K212">
        <v>49054</v>
      </c>
      <c r="L212" t="s">
        <v>266</v>
      </c>
      <c r="M212">
        <v>1.58</v>
      </c>
    </row>
    <row r="213" spans="1:13" x14ac:dyDescent="0.25">
      <c r="A213">
        <v>2004</v>
      </c>
      <c r="B213" t="s">
        <v>259</v>
      </c>
      <c r="C213">
        <v>27025</v>
      </c>
      <c r="D213" t="s">
        <v>272</v>
      </c>
      <c r="E213" t="s">
        <v>261</v>
      </c>
      <c r="F213" t="s">
        <v>270</v>
      </c>
      <c r="G213" t="s">
        <v>269</v>
      </c>
      <c r="H213">
        <v>0.47722993348299603</v>
      </c>
      <c r="I213" t="s">
        <v>264</v>
      </c>
      <c r="J213" t="s">
        <v>265</v>
      </c>
      <c r="K213">
        <v>49054</v>
      </c>
      <c r="L213" t="s">
        <v>266</v>
      </c>
      <c r="M213">
        <v>0</v>
      </c>
    </row>
    <row r="214" spans="1:13" x14ac:dyDescent="0.25">
      <c r="A214">
        <v>2004</v>
      </c>
      <c r="B214" t="s">
        <v>259</v>
      </c>
      <c r="C214">
        <v>27037</v>
      </c>
      <c r="D214" t="s">
        <v>273</v>
      </c>
      <c r="E214" t="s">
        <v>261</v>
      </c>
      <c r="F214" t="s">
        <v>262</v>
      </c>
      <c r="G214" t="s">
        <v>263</v>
      </c>
      <c r="H214">
        <v>1348655.4110060199</v>
      </c>
      <c r="I214" t="s">
        <v>264</v>
      </c>
      <c r="J214" t="s">
        <v>265</v>
      </c>
      <c r="K214">
        <v>377143</v>
      </c>
      <c r="L214" t="s">
        <v>266</v>
      </c>
      <c r="M214">
        <v>3.58</v>
      </c>
    </row>
    <row r="215" spans="1:13" x14ac:dyDescent="0.25">
      <c r="A215">
        <v>2004</v>
      </c>
      <c r="B215" t="s">
        <v>259</v>
      </c>
      <c r="C215">
        <v>27037</v>
      </c>
      <c r="D215" t="s">
        <v>273</v>
      </c>
      <c r="E215" t="s">
        <v>261</v>
      </c>
      <c r="F215" t="s">
        <v>262</v>
      </c>
      <c r="G215" t="s">
        <v>267</v>
      </c>
      <c r="H215">
        <v>31757.635501937901</v>
      </c>
      <c r="I215" t="s">
        <v>264</v>
      </c>
      <c r="J215" t="s">
        <v>265</v>
      </c>
      <c r="K215">
        <v>377143</v>
      </c>
      <c r="L215" t="s">
        <v>266</v>
      </c>
      <c r="M215">
        <v>0.08</v>
      </c>
    </row>
    <row r="216" spans="1:13" x14ac:dyDescent="0.25">
      <c r="A216">
        <v>2004</v>
      </c>
      <c r="B216" t="s">
        <v>259</v>
      </c>
      <c r="C216">
        <v>27037</v>
      </c>
      <c r="D216" t="s">
        <v>273</v>
      </c>
      <c r="E216" t="s">
        <v>261</v>
      </c>
      <c r="F216" t="s">
        <v>262</v>
      </c>
      <c r="G216" t="s">
        <v>269</v>
      </c>
      <c r="H216">
        <v>0</v>
      </c>
      <c r="I216" t="s">
        <v>264</v>
      </c>
      <c r="J216" t="s">
        <v>265</v>
      </c>
      <c r="K216">
        <v>377143</v>
      </c>
      <c r="L216" t="s">
        <v>266</v>
      </c>
      <c r="M216">
        <v>0</v>
      </c>
    </row>
    <row r="217" spans="1:13" x14ac:dyDescent="0.25">
      <c r="A217">
        <v>2004</v>
      </c>
      <c r="B217" t="s">
        <v>259</v>
      </c>
      <c r="C217">
        <v>27037</v>
      </c>
      <c r="D217" t="s">
        <v>273</v>
      </c>
      <c r="E217" t="s">
        <v>261</v>
      </c>
      <c r="F217" t="s">
        <v>268</v>
      </c>
      <c r="G217" t="s">
        <v>263</v>
      </c>
      <c r="H217">
        <v>809.85690053965698</v>
      </c>
      <c r="I217" t="s">
        <v>264</v>
      </c>
      <c r="J217" t="s">
        <v>265</v>
      </c>
      <c r="K217">
        <v>377143</v>
      </c>
      <c r="L217" t="s">
        <v>266</v>
      </c>
      <c r="M217">
        <v>0</v>
      </c>
    </row>
    <row r="218" spans="1:13" x14ac:dyDescent="0.25">
      <c r="A218">
        <v>2004</v>
      </c>
      <c r="B218" t="s">
        <v>259</v>
      </c>
      <c r="C218">
        <v>27037</v>
      </c>
      <c r="D218" t="s">
        <v>273</v>
      </c>
      <c r="E218" t="s">
        <v>261</v>
      </c>
      <c r="F218" t="s">
        <v>268</v>
      </c>
      <c r="G218" t="s">
        <v>267</v>
      </c>
      <c r="H218">
        <v>18365.3089470917</v>
      </c>
      <c r="I218" t="s">
        <v>264</v>
      </c>
      <c r="J218" t="s">
        <v>265</v>
      </c>
      <c r="K218">
        <v>377143</v>
      </c>
      <c r="L218" t="s">
        <v>266</v>
      </c>
      <c r="M218">
        <v>0.05</v>
      </c>
    </row>
    <row r="219" spans="1:13" x14ac:dyDescent="0.25">
      <c r="A219">
        <v>2004</v>
      </c>
      <c r="B219" t="s">
        <v>259</v>
      </c>
      <c r="C219">
        <v>27037</v>
      </c>
      <c r="D219" t="s">
        <v>273</v>
      </c>
      <c r="E219" t="s">
        <v>261</v>
      </c>
      <c r="F219" t="s">
        <v>268</v>
      </c>
      <c r="G219" t="s">
        <v>269</v>
      </c>
      <c r="H219">
        <v>30.2947897380513</v>
      </c>
      <c r="I219" t="s">
        <v>264</v>
      </c>
      <c r="J219" t="s">
        <v>265</v>
      </c>
      <c r="K219">
        <v>377143</v>
      </c>
      <c r="L219" t="s">
        <v>266</v>
      </c>
      <c r="M219">
        <v>0</v>
      </c>
    </row>
    <row r="220" spans="1:13" x14ac:dyDescent="0.25">
      <c r="A220">
        <v>2004</v>
      </c>
      <c r="B220" t="s">
        <v>259</v>
      </c>
      <c r="C220">
        <v>27037</v>
      </c>
      <c r="D220" t="s">
        <v>273</v>
      </c>
      <c r="E220" t="s">
        <v>261</v>
      </c>
      <c r="F220" t="s">
        <v>270</v>
      </c>
      <c r="G220" t="s">
        <v>263</v>
      </c>
      <c r="H220">
        <v>80696.999816562398</v>
      </c>
      <c r="I220" t="s">
        <v>264</v>
      </c>
      <c r="J220" t="s">
        <v>265</v>
      </c>
      <c r="K220">
        <v>377143</v>
      </c>
      <c r="L220" t="s">
        <v>266</v>
      </c>
      <c r="M220">
        <v>0.21</v>
      </c>
    </row>
    <row r="221" spans="1:13" x14ac:dyDescent="0.25">
      <c r="A221">
        <v>2004</v>
      </c>
      <c r="B221" t="s">
        <v>259</v>
      </c>
      <c r="C221">
        <v>27037</v>
      </c>
      <c r="D221" t="s">
        <v>273</v>
      </c>
      <c r="E221" t="s">
        <v>261</v>
      </c>
      <c r="F221" t="s">
        <v>270</v>
      </c>
      <c r="G221" t="s">
        <v>267</v>
      </c>
      <c r="H221">
        <v>379218.85139984201</v>
      </c>
      <c r="I221" t="s">
        <v>264</v>
      </c>
      <c r="J221" t="s">
        <v>265</v>
      </c>
      <c r="K221">
        <v>377143</v>
      </c>
      <c r="L221" t="s">
        <v>266</v>
      </c>
      <c r="M221">
        <v>1.01</v>
      </c>
    </row>
    <row r="222" spans="1:13" x14ac:dyDescent="0.25">
      <c r="A222">
        <v>2004</v>
      </c>
      <c r="B222" t="s">
        <v>259</v>
      </c>
      <c r="C222">
        <v>27037</v>
      </c>
      <c r="D222" t="s">
        <v>273</v>
      </c>
      <c r="E222" t="s">
        <v>261</v>
      </c>
      <c r="F222" t="s">
        <v>270</v>
      </c>
      <c r="G222" t="s">
        <v>269</v>
      </c>
      <c r="H222">
        <v>2.3938173392298601</v>
      </c>
      <c r="I222" t="s">
        <v>264</v>
      </c>
      <c r="J222" t="s">
        <v>265</v>
      </c>
      <c r="K222">
        <v>377143</v>
      </c>
      <c r="L222" t="s">
        <v>266</v>
      </c>
      <c r="M222">
        <v>0</v>
      </c>
    </row>
    <row r="223" spans="1:13" x14ac:dyDescent="0.25">
      <c r="A223">
        <v>2004</v>
      </c>
      <c r="B223" t="s">
        <v>259</v>
      </c>
      <c r="C223">
        <v>27053</v>
      </c>
      <c r="D223" t="s">
        <v>274</v>
      </c>
      <c r="E223" t="s">
        <v>261</v>
      </c>
      <c r="F223" t="s">
        <v>262</v>
      </c>
      <c r="G223" t="s">
        <v>263</v>
      </c>
      <c r="H223">
        <v>3562561.3668252099</v>
      </c>
      <c r="I223" t="s">
        <v>264</v>
      </c>
      <c r="J223" t="s">
        <v>265</v>
      </c>
      <c r="K223">
        <v>1118756</v>
      </c>
      <c r="L223" t="s">
        <v>266</v>
      </c>
      <c r="M223">
        <v>3.18</v>
      </c>
    </row>
    <row r="224" spans="1:13" x14ac:dyDescent="0.25">
      <c r="A224">
        <v>2004</v>
      </c>
      <c r="B224" t="s">
        <v>259</v>
      </c>
      <c r="C224">
        <v>27053</v>
      </c>
      <c r="D224" t="s">
        <v>274</v>
      </c>
      <c r="E224" t="s">
        <v>261</v>
      </c>
      <c r="F224" t="s">
        <v>262</v>
      </c>
      <c r="G224" t="s">
        <v>267</v>
      </c>
      <c r="H224">
        <v>56060.811037018299</v>
      </c>
      <c r="I224" t="s">
        <v>264</v>
      </c>
      <c r="J224" t="s">
        <v>265</v>
      </c>
      <c r="K224">
        <v>1118756</v>
      </c>
      <c r="L224" t="s">
        <v>266</v>
      </c>
      <c r="M224">
        <v>0.05</v>
      </c>
    </row>
    <row r="225" spans="1:13" x14ac:dyDescent="0.25">
      <c r="A225">
        <v>2004</v>
      </c>
      <c r="B225" t="s">
        <v>259</v>
      </c>
      <c r="C225">
        <v>27053</v>
      </c>
      <c r="D225" t="s">
        <v>274</v>
      </c>
      <c r="E225" t="s">
        <v>261</v>
      </c>
      <c r="F225" t="s">
        <v>262</v>
      </c>
      <c r="G225" t="s">
        <v>269</v>
      </c>
      <c r="H225">
        <v>0</v>
      </c>
      <c r="I225" t="s">
        <v>264</v>
      </c>
      <c r="J225" t="s">
        <v>265</v>
      </c>
      <c r="K225">
        <v>1118756</v>
      </c>
      <c r="L225" t="s">
        <v>266</v>
      </c>
      <c r="M225">
        <v>0</v>
      </c>
    </row>
    <row r="226" spans="1:13" x14ac:dyDescent="0.25">
      <c r="A226">
        <v>2004</v>
      </c>
      <c r="B226" t="s">
        <v>259</v>
      </c>
      <c r="C226">
        <v>27053</v>
      </c>
      <c r="D226" t="s">
        <v>274</v>
      </c>
      <c r="E226" t="s">
        <v>261</v>
      </c>
      <c r="F226" t="s">
        <v>268</v>
      </c>
      <c r="G226" t="s">
        <v>263</v>
      </c>
      <c r="H226">
        <v>3648.9282485293402</v>
      </c>
      <c r="I226" t="s">
        <v>264</v>
      </c>
      <c r="J226" t="s">
        <v>265</v>
      </c>
      <c r="K226">
        <v>1118756</v>
      </c>
      <c r="L226" t="s">
        <v>266</v>
      </c>
      <c r="M226">
        <v>0</v>
      </c>
    </row>
    <row r="227" spans="1:13" x14ac:dyDescent="0.25">
      <c r="A227">
        <v>2004</v>
      </c>
      <c r="B227" t="s">
        <v>259</v>
      </c>
      <c r="C227">
        <v>27053</v>
      </c>
      <c r="D227" t="s">
        <v>274</v>
      </c>
      <c r="E227" t="s">
        <v>261</v>
      </c>
      <c r="F227" t="s">
        <v>268</v>
      </c>
      <c r="G227" t="s">
        <v>267</v>
      </c>
      <c r="H227">
        <v>49734.5385767892</v>
      </c>
      <c r="I227" t="s">
        <v>264</v>
      </c>
      <c r="J227" t="s">
        <v>265</v>
      </c>
      <c r="K227">
        <v>1118756</v>
      </c>
      <c r="L227" t="s">
        <v>266</v>
      </c>
      <c r="M227">
        <v>0.04</v>
      </c>
    </row>
    <row r="228" spans="1:13" x14ac:dyDescent="0.25">
      <c r="A228">
        <v>2004</v>
      </c>
      <c r="B228" t="s">
        <v>259</v>
      </c>
      <c r="C228">
        <v>27053</v>
      </c>
      <c r="D228" t="s">
        <v>274</v>
      </c>
      <c r="E228" t="s">
        <v>261</v>
      </c>
      <c r="F228" t="s">
        <v>268</v>
      </c>
      <c r="G228" t="s">
        <v>269</v>
      </c>
      <c r="H228">
        <v>28.0677210205478</v>
      </c>
      <c r="I228" t="s">
        <v>264</v>
      </c>
      <c r="J228" t="s">
        <v>265</v>
      </c>
      <c r="K228">
        <v>1118756</v>
      </c>
      <c r="L228" t="s">
        <v>266</v>
      </c>
      <c r="M228">
        <v>0</v>
      </c>
    </row>
    <row r="229" spans="1:13" x14ac:dyDescent="0.25">
      <c r="A229">
        <v>2004</v>
      </c>
      <c r="B229" t="s">
        <v>259</v>
      </c>
      <c r="C229">
        <v>27053</v>
      </c>
      <c r="D229" t="s">
        <v>274</v>
      </c>
      <c r="E229" t="s">
        <v>261</v>
      </c>
      <c r="F229" t="s">
        <v>270</v>
      </c>
      <c r="G229" t="s">
        <v>263</v>
      </c>
      <c r="H229">
        <v>333946.89354285301</v>
      </c>
      <c r="I229" t="s">
        <v>264</v>
      </c>
      <c r="J229" t="s">
        <v>265</v>
      </c>
      <c r="K229">
        <v>1118756</v>
      </c>
      <c r="L229" t="s">
        <v>266</v>
      </c>
      <c r="M229">
        <v>0.3</v>
      </c>
    </row>
    <row r="230" spans="1:13" x14ac:dyDescent="0.25">
      <c r="A230">
        <v>2004</v>
      </c>
      <c r="B230" t="s">
        <v>259</v>
      </c>
      <c r="C230">
        <v>27053</v>
      </c>
      <c r="D230" t="s">
        <v>274</v>
      </c>
      <c r="E230" t="s">
        <v>261</v>
      </c>
      <c r="F230" t="s">
        <v>270</v>
      </c>
      <c r="G230" t="s">
        <v>267</v>
      </c>
      <c r="H230">
        <v>971197.49901716702</v>
      </c>
      <c r="I230" t="s">
        <v>264</v>
      </c>
      <c r="J230" t="s">
        <v>265</v>
      </c>
      <c r="K230">
        <v>1118756</v>
      </c>
      <c r="L230" t="s">
        <v>266</v>
      </c>
      <c r="M230">
        <v>0.87</v>
      </c>
    </row>
    <row r="231" spans="1:13" x14ac:dyDescent="0.25">
      <c r="A231">
        <v>2004</v>
      </c>
      <c r="B231" t="s">
        <v>259</v>
      </c>
      <c r="C231">
        <v>27053</v>
      </c>
      <c r="D231" t="s">
        <v>274</v>
      </c>
      <c r="E231" t="s">
        <v>261</v>
      </c>
      <c r="F231" t="s">
        <v>270</v>
      </c>
      <c r="G231" t="s">
        <v>269</v>
      </c>
      <c r="H231">
        <v>6.4804292651316198</v>
      </c>
      <c r="I231" t="s">
        <v>264</v>
      </c>
      <c r="J231" t="s">
        <v>265</v>
      </c>
      <c r="K231">
        <v>1118756</v>
      </c>
      <c r="L231" t="s">
        <v>266</v>
      </c>
      <c r="M231">
        <v>0</v>
      </c>
    </row>
    <row r="232" spans="1:13" x14ac:dyDescent="0.25">
      <c r="A232">
        <v>2004</v>
      </c>
      <c r="B232" t="s">
        <v>259</v>
      </c>
      <c r="C232">
        <v>27123</v>
      </c>
      <c r="D232" t="s">
        <v>275</v>
      </c>
      <c r="E232" t="s">
        <v>261</v>
      </c>
      <c r="F232" t="s">
        <v>262</v>
      </c>
      <c r="G232" t="s">
        <v>263</v>
      </c>
      <c r="H232">
        <v>1495682.94667439</v>
      </c>
      <c r="I232" t="s">
        <v>264</v>
      </c>
      <c r="J232" t="s">
        <v>265</v>
      </c>
      <c r="K232">
        <v>501104</v>
      </c>
      <c r="L232" t="s">
        <v>266</v>
      </c>
      <c r="M232">
        <v>2.98</v>
      </c>
    </row>
    <row r="233" spans="1:13" x14ac:dyDescent="0.25">
      <c r="A233">
        <v>2004</v>
      </c>
      <c r="B233" t="s">
        <v>259</v>
      </c>
      <c r="C233">
        <v>27123</v>
      </c>
      <c r="D233" t="s">
        <v>275</v>
      </c>
      <c r="E233" t="s">
        <v>261</v>
      </c>
      <c r="F233" t="s">
        <v>262</v>
      </c>
      <c r="G233" t="s">
        <v>267</v>
      </c>
      <c r="H233">
        <v>20449.366802828899</v>
      </c>
      <c r="I233" t="s">
        <v>264</v>
      </c>
      <c r="J233" t="s">
        <v>265</v>
      </c>
      <c r="K233">
        <v>501104</v>
      </c>
      <c r="L233" t="s">
        <v>266</v>
      </c>
      <c r="M233">
        <v>0.04</v>
      </c>
    </row>
    <row r="234" spans="1:13" x14ac:dyDescent="0.25">
      <c r="A234">
        <v>2004</v>
      </c>
      <c r="B234" t="s">
        <v>259</v>
      </c>
      <c r="C234">
        <v>27123</v>
      </c>
      <c r="D234" t="s">
        <v>275</v>
      </c>
      <c r="E234" t="s">
        <v>261</v>
      </c>
      <c r="F234" t="s">
        <v>262</v>
      </c>
      <c r="G234" t="s">
        <v>269</v>
      </c>
      <c r="H234">
        <v>0</v>
      </c>
      <c r="I234" t="s">
        <v>264</v>
      </c>
      <c r="J234" t="s">
        <v>265</v>
      </c>
      <c r="K234">
        <v>501104</v>
      </c>
      <c r="L234" t="s">
        <v>266</v>
      </c>
      <c r="M234">
        <v>0</v>
      </c>
    </row>
    <row r="235" spans="1:13" x14ac:dyDescent="0.25">
      <c r="A235">
        <v>2004</v>
      </c>
      <c r="B235" t="s">
        <v>259</v>
      </c>
      <c r="C235">
        <v>27123</v>
      </c>
      <c r="D235" t="s">
        <v>275</v>
      </c>
      <c r="E235" t="s">
        <v>261</v>
      </c>
      <c r="F235" t="s">
        <v>268</v>
      </c>
      <c r="G235" t="s">
        <v>263</v>
      </c>
      <c r="H235">
        <v>2280.2371230082099</v>
      </c>
      <c r="I235" t="s">
        <v>264</v>
      </c>
      <c r="J235" t="s">
        <v>265</v>
      </c>
      <c r="K235">
        <v>501104</v>
      </c>
      <c r="L235" t="s">
        <v>266</v>
      </c>
      <c r="M235">
        <v>0</v>
      </c>
    </row>
    <row r="236" spans="1:13" x14ac:dyDescent="0.25">
      <c r="A236">
        <v>2004</v>
      </c>
      <c r="B236" t="s">
        <v>259</v>
      </c>
      <c r="C236">
        <v>27123</v>
      </c>
      <c r="D236" t="s">
        <v>275</v>
      </c>
      <c r="E236" t="s">
        <v>261</v>
      </c>
      <c r="F236" t="s">
        <v>268</v>
      </c>
      <c r="G236" t="s">
        <v>267</v>
      </c>
      <c r="H236">
        <v>19378.713390037301</v>
      </c>
      <c r="I236" t="s">
        <v>264</v>
      </c>
      <c r="J236" t="s">
        <v>265</v>
      </c>
      <c r="K236">
        <v>501104</v>
      </c>
      <c r="L236" t="s">
        <v>266</v>
      </c>
      <c r="M236">
        <v>0.04</v>
      </c>
    </row>
    <row r="237" spans="1:13" x14ac:dyDescent="0.25">
      <c r="A237">
        <v>2004</v>
      </c>
      <c r="B237" t="s">
        <v>259</v>
      </c>
      <c r="C237">
        <v>27123</v>
      </c>
      <c r="D237" t="s">
        <v>275</v>
      </c>
      <c r="E237" t="s">
        <v>261</v>
      </c>
      <c r="F237" t="s">
        <v>268</v>
      </c>
      <c r="G237" t="s">
        <v>269</v>
      </c>
      <c r="H237">
        <v>128.13184067126801</v>
      </c>
      <c r="I237" t="s">
        <v>264</v>
      </c>
      <c r="J237" t="s">
        <v>265</v>
      </c>
      <c r="K237">
        <v>501104</v>
      </c>
      <c r="L237" t="s">
        <v>266</v>
      </c>
      <c r="M237">
        <v>0</v>
      </c>
    </row>
    <row r="238" spans="1:13" x14ac:dyDescent="0.25">
      <c r="A238">
        <v>2004</v>
      </c>
      <c r="B238" t="s">
        <v>259</v>
      </c>
      <c r="C238">
        <v>27123</v>
      </c>
      <c r="D238" t="s">
        <v>275</v>
      </c>
      <c r="E238" t="s">
        <v>261</v>
      </c>
      <c r="F238" t="s">
        <v>270</v>
      </c>
      <c r="G238" t="s">
        <v>263</v>
      </c>
      <c r="H238">
        <v>136231.79429504101</v>
      </c>
      <c r="I238" t="s">
        <v>264</v>
      </c>
      <c r="J238" t="s">
        <v>265</v>
      </c>
      <c r="K238">
        <v>501104</v>
      </c>
      <c r="L238" t="s">
        <v>266</v>
      </c>
      <c r="M238">
        <v>0.27</v>
      </c>
    </row>
    <row r="239" spans="1:13" x14ac:dyDescent="0.25">
      <c r="A239">
        <v>2004</v>
      </c>
      <c r="B239" t="s">
        <v>259</v>
      </c>
      <c r="C239">
        <v>27123</v>
      </c>
      <c r="D239" t="s">
        <v>275</v>
      </c>
      <c r="E239" t="s">
        <v>261</v>
      </c>
      <c r="F239" t="s">
        <v>270</v>
      </c>
      <c r="G239" t="s">
        <v>267</v>
      </c>
      <c r="H239">
        <v>409095.06890556897</v>
      </c>
      <c r="I239" t="s">
        <v>264</v>
      </c>
      <c r="J239" t="s">
        <v>265</v>
      </c>
      <c r="K239">
        <v>501104</v>
      </c>
      <c r="L239" t="s">
        <v>266</v>
      </c>
      <c r="M239">
        <v>0.82</v>
      </c>
    </row>
    <row r="240" spans="1:13" x14ac:dyDescent="0.25">
      <c r="A240">
        <v>2004</v>
      </c>
      <c r="B240" t="s">
        <v>259</v>
      </c>
      <c r="C240">
        <v>27123</v>
      </c>
      <c r="D240" t="s">
        <v>275</v>
      </c>
      <c r="E240" t="s">
        <v>261</v>
      </c>
      <c r="F240" t="s">
        <v>270</v>
      </c>
      <c r="G240" t="s">
        <v>269</v>
      </c>
      <c r="H240">
        <v>5.43628525232565</v>
      </c>
      <c r="I240" t="s">
        <v>264</v>
      </c>
      <c r="J240" t="s">
        <v>265</v>
      </c>
      <c r="K240">
        <v>501104</v>
      </c>
      <c r="L240" t="s">
        <v>266</v>
      </c>
      <c r="M240">
        <v>0</v>
      </c>
    </row>
    <row r="241" spans="1:13" x14ac:dyDescent="0.25">
      <c r="A241">
        <v>2004</v>
      </c>
      <c r="B241" t="s">
        <v>259</v>
      </c>
      <c r="C241">
        <v>27139</v>
      </c>
      <c r="D241" t="s">
        <v>276</v>
      </c>
      <c r="E241" t="s">
        <v>261</v>
      </c>
      <c r="F241" t="s">
        <v>262</v>
      </c>
      <c r="G241" t="s">
        <v>263</v>
      </c>
      <c r="H241">
        <v>460730.51009999297</v>
      </c>
      <c r="I241" t="s">
        <v>264</v>
      </c>
      <c r="J241" t="s">
        <v>265</v>
      </c>
      <c r="K241">
        <v>112605</v>
      </c>
      <c r="L241" t="s">
        <v>266</v>
      </c>
      <c r="M241">
        <v>4.09</v>
      </c>
    </row>
    <row r="242" spans="1:13" x14ac:dyDescent="0.25">
      <c r="A242">
        <v>2004</v>
      </c>
      <c r="B242" t="s">
        <v>259</v>
      </c>
      <c r="C242">
        <v>27139</v>
      </c>
      <c r="D242" t="s">
        <v>276</v>
      </c>
      <c r="E242" t="s">
        <v>261</v>
      </c>
      <c r="F242" t="s">
        <v>262</v>
      </c>
      <c r="G242" t="s">
        <v>267</v>
      </c>
      <c r="H242">
        <v>20135.710806493302</v>
      </c>
      <c r="I242" t="s">
        <v>264</v>
      </c>
      <c r="J242" t="s">
        <v>265</v>
      </c>
      <c r="K242">
        <v>112605</v>
      </c>
      <c r="L242" t="s">
        <v>266</v>
      </c>
      <c r="M242">
        <v>0.18</v>
      </c>
    </row>
    <row r="243" spans="1:13" x14ac:dyDescent="0.25">
      <c r="A243">
        <v>2004</v>
      </c>
      <c r="B243" t="s">
        <v>259</v>
      </c>
      <c r="C243">
        <v>27139</v>
      </c>
      <c r="D243" t="s">
        <v>276</v>
      </c>
      <c r="E243" t="s">
        <v>261</v>
      </c>
      <c r="F243" t="s">
        <v>268</v>
      </c>
      <c r="G243" t="s">
        <v>263</v>
      </c>
      <c r="H243">
        <v>310.89453656183798</v>
      </c>
      <c r="I243" t="s">
        <v>264</v>
      </c>
      <c r="J243" t="s">
        <v>265</v>
      </c>
      <c r="K243">
        <v>112605</v>
      </c>
      <c r="L243" t="s">
        <v>266</v>
      </c>
      <c r="M243">
        <v>0</v>
      </c>
    </row>
    <row r="244" spans="1:13" x14ac:dyDescent="0.25">
      <c r="A244">
        <v>2004</v>
      </c>
      <c r="B244" t="s">
        <v>259</v>
      </c>
      <c r="C244">
        <v>27139</v>
      </c>
      <c r="D244" t="s">
        <v>276</v>
      </c>
      <c r="E244" t="s">
        <v>261</v>
      </c>
      <c r="F244" t="s">
        <v>268</v>
      </c>
      <c r="G244" t="s">
        <v>267</v>
      </c>
      <c r="H244">
        <v>6197.6910898890501</v>
      </c>
      <c r="I244" t="s">
        <v>264</v>
      </c>
      <c r="J244" t="s">
        <v>265</v>
      </c>
      <c r="K244">
        <v>112605</v>
      </c>
      <c r="L244" t="s">
        <v>266</v>
      </c>
      <c r="M244">
        <v>0.06</v>
      </c>
    </row>
    <row r="245" spans="1:13" x14ac:dyDescent="0.25">
      <c r="A245">
        <v>2004</v>
      </c>
      <c r="B245" t="s">
        <v>259</v>
      </c>
      <c r="C245">
        <v>27139</v>
      </c>
      <c r="D245" t="s">
        <v>276</v>
      </c>
      <c r="E245" t="s">
        <v>261</v>
      </c>
      <c r="F245" t="s">
        <v>268</v>
      </c>
      <c r="G245" t="s">
        <v>269</v>
      </c>
      <c r="H245">
        <v>100.02179881824</v>
      </c>
      <c r="I245" t="s">
        <v>264</v>
      </c>
      <c r="J245" t="s">
        <v>265</v>
      </c>
      <c r="K245">
        <v>112605</v>
      </c>
      <c r="L245" t="s">
        <v>266</v>
      </c>
      <c r="M245">
        <v>0</v>
      </c>
    </row>
    <row r="246" spans="1:13" x14ac:dyDescent="0.25">
      <c r="A246">
        <v>2004</v>
      </c>
      <c r="B246" t="s">
        <v>259</v>
      </c>
      <c r="C246">
        <v>27139</v>
      </c>
      <c r="D246" t="s">
        <v>276</v>
      </c>
      <c r="E246" t="s">
        <v>261</v>
      </c>
      <c r="F246" t="s">
        <v>270</v>
      </c>
      <c r="G246" t="s">
        <v>263</v>
      </c>
      <c r="H246">
        <v>28865.953954660301</v>
      </c>
      <c r="I246" t="s">
        <v>264</v>
      </c>
      <c r="J246" t="s">
        <v>265</v>
      </c>
      <c r="K246">
        <v>112605</v>
      </c>
      <c r="L246" t="s">
        <v>266</v>
      </c>
      <c r="M246">
        <v>0.26</v>
      </c>
    </row>
    <row r="247" spans="1:13" x14ac:dyDescent="0.25">
      <c r="A247">
        <v>2004</v>
      </c>
      <c r="B247" t="s">
        <v>259</v>
      </c>
      <c r="C247">
        <v>27139</v>
      </c>
      <c r="D247" t="s">
        <v>276</v>
      </c>
      <c r="E247" t="s">
        <v>261</v>
      </c>
      <c r="F247" t="s">
        <v>270</v>
      </c>
      <c r="G247" t="s">
        <v>267</v>
      </c>
      <c r="H247">
        <v>125369.609345213</v>
      </c>
      <c r="I247" t="s">
        <v>264</v>
      </c>
      <c r="J247" t="s">
        <v>265</v>
      </c>
      <c r="K247">
        <v>112605</v>
      </c>
      <c r="L247" t="s">
        <v>266</v>
      </c>
      <c r="M247">
        <v>1.1100000000000001</v>
      </c>
    </row>
    <row r="248" spans="1:13" x14ac:dyDescent="0.25">
      <c r="A248">
        <v>2004</v>
      </c>
      <c r="B248" t="s">
        <v>259</v>
      </c>
      <c r="C248">
        <v>27139</v>
      </c>
      <c r="D248" t="s">
        <v>276</v>
      </c>
      <c r="E248" t="s">
        <v>261</v>
      </c>
      <c r="F248" t="s">
        <v>270</v>
      </c>
      <c r="G248" t="s">
        <v>269</v>
      </c>
      <c r="H248">
        <v>0.72954678235644299</v>
      </c>
      <c r="I248" t="s">
        <v>264</v>
      </c>
      <c r="J248" t="s">
        <v>265</v>
      </c>
      <c r="K248">
        <v>112605</v>
      </c>
      <c r="L248" t="s">
        <v>266</v>
      </c>
      <c r="M248">
        <v>0</v>
      </c>
    </row>
    <row r="249" spans="1:13" x14ac:dyDescent="0.25">
      <c r="A249">
        <v>2004</v>
      </c>
      <c r="B249" t="s">
        <v>259</v>
      </c>
      <c r="C249">
        <v>27141</v>
      </c>
      <c r="D249" t="s">
        <v>277</v>
      </c>
      <c r="E249" t="s">
        <v>261</v>
      </c>
      <c r="F249" t="s">
        <v>262</v>
      </c>
      <c r="G249" t="s">
        <v>263</v>
      </c>
      <c r="H249">
        <v>313680.69616667402</v>
      </c>
      <c r="I249" t="s">
        <v>264</v>
      </c>
      <c r="J249" t="s">
        <v>265</v>
      </c>
      <c r="K249">
        <v>78091</v>
      </c>
      <c r="L249" t="s">
        <v>266</v>
      </c>
      <c r="M249">
        <v>4.0199999999999996</v>
      </c>
    </row>
    <row r="250" spans="1:13" x14ac:dyDescent="0.25">
      <c r="A250">
        <v>2004</v>
      </c>
      <c r="B250" t="s">
        <v>259</v>
      </c>
      <c r="C250">
        <v>27141</v>
      </c>
      <c r="D250" t="s">
        <v>277</v>
      </c>
      <c r="E250" t="s">
        <v>261</v>
      </c>
      <c r="F250" t="s">
        <v>262</v>
      </c>
      <c r="G250" t="s">
        <v>267</v>
      </c>
      <c r="H250">
        <v>16747.009663013701</v>
      </c>
      <c r="I250" t="s">
        <v>264</v>
      </c>
      <c r="J250" t="s">
        <v>265</v>
      </c>
      <c r="K250">
        <v>78091</v>
      </c>
      <c r="L250" t="s">
        <v>266</v>
      </c>
      <c r="M250">
        <v>0.21</v>
      </c>
    </row>
    <row r="251" spans="1:13" x14ac:dyDescent="0.25">
      <c r="A251">
        <v>2004</v>
      </c>
      <c r="B251" t="s">
        <v>259</v>
      </c>
      <c r="C251">
        <v>27141</v>
      </c>
      <c r="D251" t="s">
        <v>277</v>
      </c>
      <c r="E251" t="s">
        <v>261</v>
      </c>
      <c r="F251" t="s">
        <v>262</v>
      </c>
      <c r="G251" t="s">
        <v>269</v>
      </c>
      <c r="H251">
        <v>0</v>
      </c>
      <c r="I251" t="s">
        <v>264</v>
      </c>
      <c r="J251" t="s">
        <v>265</v>
      </c>
      <c r="K251">
        <v>78091</v>
      </c>
      <c r="L251" t="s">
        <v>266</v>
      </c>
      <c r="M251">
        <v>0</v>
      </c>
    </row>
    <row r="252" spans="1:13" x14ac:dyDescent="0.25">
      <c r="A252">
        <v>2004</v>
      </c>
      <c r="B252" t="s">
        <v>259</v>
      </c>
      <c r="C252">
        <v>27141</v>
      </c>
      <c r="D252" t="s">
        <v>277</v>
      </c>
      <c r="E252" t="s">
        <v>261</v>
      </c>
      <c r="F252" t="s">
        <v>268</v>
      </c>
      <c r="G252" t="s">
        <v>263</v>
      </c>
      <c r="H252">
        <v>387.66026250175298</v>
      </c>
      <c r="I252" t="s">
        <v>264</v>
      </c>
      <c r="J252" t="s">
        <v>265</v>
      </c>
      <c r="K252">
        <v>78091</v>
      </c>
      <c r="L252" t="s">
        <v>266</v>
      </c>
      <c r="M252">
        <v>0</v>
      </c>
    </row>
    <row r="253" spans="1:13" x14ac:dyDescent="0.25">
      <c r="A253">
        <v>2004</v>
      </c>
      <c r="B253" t="s">
        <v>259</v>
      </c>
      <c r="C253">
        <v>27141</v>
      </c>
      <c r="D253" t="s">
        <v>277</v>
      </c>
      <c r="E253" t="s">
        <v>261</v>
      </c>
      <c r="F253" t="s">
        <v>268</v>
      </c>
      <c r="G253" t="s">
        <v>267</v>
      </c>
      <c r="H253">
        <v>3860.1433119031799</v>
      </c>
      <c r="I253" t="s">
        <v>264</v>
      </c>
      <c r="J253" t="s">
        <v>265</v>
      </c>
      <c r="K253">
        <v>78091</v>
      </c>
      <c r="L253" t="s">
        <v>266</v>
      </c>
      <c r="M253">
        <v>0.05</v>
      </c>
    </row>
    <row r="254" spans="1:13" x14ac:dyDescent="0.25">
      <c r="A254">
        <v>2004</v>
      </c>
      <c r="B254" t="s">
        <v>259</v>
      </c>
      <c r="C254">
        <v>27141</v>
      </c>
      <c r="D254" t="s">
        <v>277</v>
      </c>
      <c r="E254" t="s">
        <v>261</v>
      </c>
      <c r="F254" t="s">
        <v>268</v>
      </c>
      <c r="G254" t="s">
        <v>269</v>
      </c>
      <c r="H254">
        <v>66.195947359869905</v>
      </c>
      <c r="I254" t="s">
        <v>264</v>
      </c>
      <c r="J254" t="s">
        <v>265</v>
      </c>
      <c r="K254">
        <v>78091</v>
      </c>
      <c r="L254" t="s">
        <v>266</v>
      </c>
      <c r="M254">
        <v>0</v>
      </c>
    </row>
    <row r="255" spans="1:13" x14ac:dyDescent="0.25">
      <c r="A255">
        <v>2004</v>
      </c>
      <c r="B255" t="s">
        <v>259</v>
      </c>
      <c r="C255">
        <v>27141</v>
      </c>
      <c r="D255" t="s">
        <v>277</v>
      </c>
      <c r="E255" t="s">
        <v>261</v>
      </c>
      <c r="F255" t="s">
        <v>270</v>
      </c>
      <c r="G255" t="s">
        <v>263</v>
      </c>
      <c r="H255">
        <v>19093.867779807901</v>
      </c>
      <c r="I255" t="s">
        <v>264</v>
      </c>
      <c r="J255" t="s">
        <v>265</v>
      </c>
      <c r="K255">
        <v>78091</v>
      </c>
      <c r="L255" t="s">
        <v>266</v>
      </c>
      <c r="M255">
        <v>0.24</v>
      </c>
    </row>
    <row r="256" spans="1:13" x14ac:dyDescent="0.25">
      <c r="A256">
        <v>2004</v>
      </c>
      <c r="B256" t="s">
        <v>259</v>
      </c>
      <c r="C256">
        <v>27141</v>
      </c>
      <c r="D256" t="s">
        <v>277</v>
      </c>
      <c r="E256" t="s">
        <v>261</v>
      </c>
      <c r="F256" t="s">
        <v>270</v>
      </c>
      <c r="G256" t="s">
        <v>267</v>
      </c>
      <c r="H256">
        <v>84895.972523790202</v>
      </c>
      <c r="I256" t="s">
        <v>264</v>
      </c>
      <c r="J256" t="s">
        <v>265</v>
      </c>
      <c r="K256">
        <v>78091</v>
      </c>
      <c r="L256" t="s">
        <v>266</v>
      </c>
      <c r="M256">
        <v>1.0900000000000001</v>
      </c>
    </row>
    <row r="257" spans="1:13" x14ac:dyDescent="0.25">
      <c r="A257">
        <v>2004</v>
      </c>
      <c r="B257" t="s">
        <v>259</v>
      </c>
      <c r="C257">
        <v>27141</v>
      </c>
      <c r="D257" t="s">
        <v>277</v>
      </c>
      <c r="E257" t="s">
        <v>261</v>
      </c>
      <c r="F257" t="s">
        <v>270</v>
      </c>
      <c r="G257" t="s">
        <v>269</v>
      </c>
      <c r="H257">
        <v>0.49070558569012401</v>
      </c>
      <c r="I257" t="s">
        <v>264</v>
      </c>
      <c r="J257" t="s">
        <v>265</v>
      </c>
      <c r="K257">
        <v>78091</v>
      </c>
      <c r="L257" t="s">
        <v>266</v>
      </c>
      <c r="M257">
        <v>0</v>
      </c>
    </row>
    <row r="258" spans="1:13" x14ac:dyDescent="0.25">
      <c r="A258">
        <v>2004</v>
      </c>
      <c r="B258" t="s">
        <v>259</v>
      </c>
      <c r="C258">
        <v>27163</v>
      </c>
      <c r="D258" t="s">
        <v>278</v>
      </c>
      <c r="E258" t="s">
        <v>261</v>
      </c>
      <c r="F258" t="s">
        <v>262</v>
      </c>
      <c r="G258" t="s">
        <v>263</v>
      </c>
      <c r="H258">
        <v>795215.01116655301</v>
      </c>
      <c r="I258" t="s">
        <v>264</v>
      </c>
      <c r="J258" t="s">
        <v>265</v>
      </c>
      <c r="K258">
        <v>215937</v>
      </c>
      <c r="L258" t="s">
        <v>266</v>
      </c>
      <c r="M258">
        <v>3.68</v>
      </c>
    </row>
    <row r="259" spans="1:13" x14ac:dyDescent="0.25">
      <c r="A259">
        <v>2004</v>
      </c>
      <c r="B259" t="s">
        <v>259</v>
      </c>
      <c r="C259">
        <v>27163</v>
      </c>
      <c r="D259" t="s">
        <v>278</v>
      </c>
      <c r="E259" t="s">
        <v>261</v>
      </c>
      <c r="F259" t="s">
        <v>262</v>
      </c>
      <c r="G259" t="s">
        <v>267</v>
      </c>
      <c r="H259">
        <v>26818.7033083323</v>
      </c>
      <c r="I259" t="s">
        <v>264</v>
      </c>
      <c r="J259" t="s">
        <v>265</v>
      </c>
      <c r="K259">
        <v>215937</v>
      </c>
      <c r="L259" t="s">
        <v>266</v>
      </c>
      <c r="M259">
        <v>0.12</v>
      </c>
    </row>
    <row r="260" spans="1:13" x14ac:dyDescent="0.25">
      <c r="A260">
        <v>2004</v>
      </c>
      <c r="B260" t="s">
        <v>259</v>
      </c>
      <c r="C260">
        <v>27163</v>
      </c>
      <c r="D260" t="s">
        <v>278</v>
      </c>
      <c r="E260" t="s">
        <v>261</v>
      </c>
      <c r="F260" t="s">
        <v>262</v>
      </c>
      <c r="G260" t="s">
        <v>269</v>
      </c>
      <c r="H260">
        <v>0</v>
      </c>
      <c r="I260" t="s">
        <v>264</v>
      </c>
      <c r="J260" t="s">
        <v>265</v>
      </c>
      <c r="K260">
        <v>215937</v>
      </c>
      <c r="L260" t="s">
        <v>266</v>
      </c>
      <c r="M260">
        <v>0</v>
      </c>
    </row>
    <row r="261" spans="1:13" x14ac:dyDescent="0.25">
      <c r="A261">
        <v>2004</v>
      </c>
      <c r="B261" t="s">
        <v>259</v>
      </c>
      <c r="C261">
        <v>27163</v>
      </c>
      <c r="D261" t="s">
        <v>278</v>
      </c>
      <c r="E261" t="s">
        <v>261</v>
      </c>
      <c r="F261" t="s">
        <v>268</v>
      </c>
      <c r="G261" t="s">
        <v>263</v>
      </c>
      <c r="H261">
        <v>774.44117596900605</v>
      </c>
      <c r="I261" t="s">
        <v>264</v>
      </c>
      <c r="J261" t="s">
        <v>265</v>
      </c>
      <c r="K261">
        <v>215937</v>
      </c>
      <c r="L261" t="s">
        <v>266</v>
      </c>
      <c r="M261">
        <v>0</v>
      </c>
    </row>
    <row r="262" spans="1:13" x14ac:dyDescent="0.25">
      <c r="A262">
        <v>2004</v>
      </c>
      <c r="B262" t="s">
        <v>259</v>
      </c>
      <c r="C262">
        <v>27163</v>
      </c>
      <c r="D262" t="s">
        <v>278</v>
      </c>
      <c r="E262" t="s">
        <v>261</v>
      </c>
      <c r="F262" t="s">
        <v>268</v>
      </c>
      <c r="G262" t="s">
        <v>267</v>
      </c>
      <c r="H262">
        <v>10367.4326194807</v>
      </c>
      <c r="I262" t="s">
        <v>264</v>
      </c>
      <c r="J262" t="s">
        <v>265</v>
      </c>
      <c r="K262">
        <v>215937</v>
      </c>
      <c r="L262" t="s">
        <v>266</v>
      </c>
      <c r="M262">
        <v>0.05</v>
      </c>
    </row>
    <row r="263" spans="1:13" x14ac:dyDescent="0.25">
      <c r="A263">
        <v>2004</v>
      </c>
      <c r="B263" t="s">
        <v>259</v>
      </c>
      <c r="C263">
        <v>27163</v>
      </c>
      <c r="D263" t="s">
        <v>278</v>
      </c>
      <c r="E263" t="s">
        <v>261</v>
      </c>
      <c r="F263" t="s">
        <v>268</v>
      </c>
      <c r="G263" t="s">
        <v>269</v>
      </c>
      <c r="H263">
        <v>197.765348379541</v>
      </c>
      <c r="I263" t="s">
        <v>264</v>
      </c>
      <c r="J263" t="s">
        <v>265</v>
      </c>
      <c r="K263">
        <v>215937</v>
      </c>
      <c r="L263" t="s">
        <v>266</v>
      </c>
      <c r="M263">
        <v>0</v>
      </c>
    </row>
    <row r="264" spans="1:13" x14ac:dyDescent="0.25">
      <c r="A264">
        <v>2004</v>
      </c>
      <c r="B264" t="s">
        <v>259</v>
      </c>
      <c r="C264">
        <v>27163</v>
      </c>
      <c r="D264" t="s">
        <v>278</v>
      </c>
      <c r="E264" t="s">
        <v>261</v>
      </c>
      <c r="F264" t="s">
        <v>270</v>
      </c>
      <c r="G264" t="s">
        <v>263</v>
      </c>
      <c r="H264">
        <v>40113.089926907902</v>
      </c>
      <c r="I264" t="s">
        <v>264</v>
      </c>
      <c r="J264" t="s">
        <v>265</v>
      </c>
      <c r="K264">
        <v>215937</v>
      </c>
      <c r="L264" t="s">
        <v>266</v>
      </c>
      <c r="M264">
        <v>0.19</v>
      </c>
    </row>
    <row r="265" spans="1:13" x14ac:dyDescent="0.25">
      <c r="A265">
        <v>2004</v>
      </c>
      <c r="B265" t="s">
        <v>259</v>
      </c>
      <c r="C265">
        <v>27163</v>
      </c>
      <c r="D265" t="s">
        <v>278</v>
      </c>
      <c r="E265" t="s">
        <v>261</v>
      </c>
      <c r="F265" t="s">
        <v>270</v>
      </c>
      <c r="G265" t="s">
        <v>267</v>
      </c>
      <c r="H265">
        <v>218868.67401513</v>
      </c>
      <c r="I265" t="s">
        <v>264</v>
      </c>
      <c r="J265" t="s">
        <v>265</v>
      </c>
      <c r="K265">
        <v>215937</v>
      </c>
      <c r="L265" t="s">
        <v>266</v>
      </c>
      <c r="M265">
        <v>1.01</v>
      </c>
    </row>
    <row r="266" spans="1:13" x14ac:dyDescent="0.25">
      <c r="A266">
        <v>2004</v>
      </c>
      <c r="B266" t="s">
        <v>259</v>
      </c>
      <c r="C266">
        <v>27163</v>
      </c>
      <c r="D266" t="s">
        <v>278</v>
      </c>
      <c r="E266" t="s">
        <v>261</v>
      </c>
      <c r="F266" t="s">
        <v>270</v>
      </c>
      <c r="G266" t="s">
        <v>269</v>
      </c>
      <c r="H266">
        <v>1.4707992258833</v>
      </c>
      <c r="I266" t="s">
        <v>264</v>
      </c>
      <c r="J266" t="s">
        <v>265</v>
      </c>
      <c r="K266">
        <v>215937</v>
      </c>
      <c r="L266" t="s">
        <v>266</v>
      </c>
      <c r="M266">
        <v>0</v>
      </c>
    </row>
    <row r="267" spans="1:13" x14ac:dyDescent="0.25">
      <c r="A267">
        <v>2004</v>
      </c>
      <c r="B267" t="s">
        <v>259</v>
      </c>
      <c r="C267">
        <v>55093</v>
      </c>
      <c r="D267" t="s">
        <v>279</v>
      </c>
      <c r="E267" t="s">
        <v>261</v>
      </c>
      <c r="F267" t="s">
        <v>262</v>
      </c>
      <c r="G267" t="s">
        <v>263</v>
      </c>
      <c r="H267">
        <v>136434.195902985</v>
      </c>
      <c r="I267" t="s">
        <v>264</v>
      </c>
      <c r="J267" t="s">
        <v>265</v>
      </c>
      <c r="K267">
        <v>38789</v>
      </c>
      <c r="L267" t="s">
        <v>266</v>
      </c>
      <c r="M267">
        <v>3.52</v>
      </c>
    </row>
    <row r="268" spans="1:13" x14ac:dyDescent="0.25">
      <c r="A268">
        <v>2004</v>
      </c>
      <c r="B268" t="s">
        <v>259</v>
      </c>
      <c r="C268">
        <v>55093</v>
      </c>
      <c r="D268" t="s">
        <v>279</v>
      </c>
      <c r="E268" t="s">
        <v>261</v>
      </c>
      <c r="F268" t="s">
        <v>262</v>
      </c>
      <c r="G268" t="s">
        <v>267</v>
      </c>
      <c r="H268">
        <v>7927.5375916916601</v>
      </c>
      <c r="I268" t="s">
        <v>264</v>
      </c>
      <c r="J268" t="s">
        <v>265</v>
      </c>
      <c r="K268">
        <v>38789</v>
      </c>
      <c r="L268" t="s">
        <v>266</v>
      </c>
      <c r="M268">
        <v>0.2</v>
      </c>
    </row>
    <row r="269" spans="1:13" x14ac:dyDescent="0.25">
      <c r="A269">
        <v>2004</v>
      </c>
      <c r="B269" t="s">
        <v>259</v>
      </c>
      <c r="C269">
        <v>55093</v>
      </c>
      <c r="D269" t="s">
        <v>279</v>
      </c>
      <c r="E269" t="s">
        <v>261</v>
      </c>
      <c r="F269" t="s">
        <v>262</v>
      </c>
      <c r="G269" t="s">
        <v>269</v>
      </c>
      <c r="H269">
        <v>0</v>
      </c>
      <c r="I269" t="s">
        <v>264</v>
      </c>
      <c r="J269" t="s">
        <v>265</v>
      </c>
      <c r="K269">
        <v>38789</v>
      </c>
      <c r="L269" t="s">
        <v>266</v>
      </c>
      <c r="M269">
        <v>0</v>
      </c>
    </row>
    <row r="270" spans="1:13" x14ac:dyDescent="0.25">
      <c r="A270">
        <v>2004</v>
      </c>
      <c r="B270" t="s">
        <v>259</v>
      </c>
      <c r="C270">
        <v>55093</v>
      </c>
      <c r="D270" t="s">
        <v>279</v>
      </c>
      <c r="E270" t="s">
        <v>261</v>
      </c>
      <c r="F270" t="s">
        <v>268</v>
      </c>
      <c r="G270" t="s">
        <v>263</v>
      </c>
      <c r="H270">
        <v>139.54474528306901</v>
      </c>
      <c r="I270" t="s">
        <v>264</v>
      </c>
      <c r="J270" t="s">
        <v>265</v>
      </c>
      <c r="K270">
        <v>38789</v>
      </c>
      <c r="L270" t="s">
        <v>266</v>
      </c>
      <c r="M270">
        <v>0</v>
      </c>
    </row>
    <row r="271" spans="1:13" x14ac:dyDescent="0.25">
      <c r="A271">
        <v>2004</v>
      </c>
      <c r="B271" t="s">
        <v>259</v>
      </c>
      <c r="C271">
        <v>55093</v>
      </c>
      <c r="D271" t="s">
        <v>279</v>
      </c>
      <c r="E271" t="s">
        <v>261</v>
      </c>
      <c r="F271" t="s">
        <v>268</v>
      </c>
      <c r="G271" t="s">
        <v>267</v>
      </c>
      <c r="H271">
        <v>2377.2053529075602</v>
      </c>
      <c r="I271" t="s">
        <v>264</v>
      </c>
      <c r="J271" t="s">
        <v>265</v>
      </c>
      <c r="K271">
        <v>38789</v>
      </c>
      <c r="L271" t="s">
        <v>266</v>
      </c>
      <c r="M271">
        <v>0.06</v>
      </c>
    </row>
    <row r="272" spans="1:13" x14ac:dyDescent="0.25">
      <c r="A272">
        <v>2004</v>
      </c>
      <c r="B272" t="s">
        <v>259</v>
      </c>
      <c r="C272">
        <v>55093</v>
      </c>
      <c r="D272" t="s">
        <v>279</v>
      </c>
      <c r="E272" t="s">
        <v>261</v>
      </c>
      <c r="F272" t="s">
        <v>268</v>
      </c>
      <c r="G272" t="s">
        <v>269</v>
      </c>
      <c r="H272">
        <v>47.593205331319197</v>
      </c>
      <c r="I272" t="s">
        <v>264</v>
      </c>
      <c r="J272" t="s">
        <v>265</v>
      </c>
      <c r="K272">
        <v>38789</v>
      </c>
      <c r="L272" t="s">
        <v>266</v>
      </c>
      <c r="M272">
        <v>0</v>
      </c>
    </row>
    <row r="273" spans="1:13" x14ac:dyDescent="0.25">
      <c r="A273">
        <v>2004</v>
      </c>
      <c r="B273" t="s">
        <v>259</v>
      </c>
      <c r="C273">
        <v>55093</v>
      </c>
      <c r="D273" t="s">
        <v>279</v>
      </c>
      <c r="E273" t="s">
        <v>261</v>
      </c>
      <c r="F273" t="s">
        <v>270</v>
      </c>
      <c r="G273" t="s">
        <v>263</v>
      </c>
      <c r="H273">
        <v>8774.7046193790102</v>
      </c>
      <c r="I273" t="s">
        <v>264</v>
      </c>
      <c r="J273" t="s">
        <v>265</v>
      </c>
      <c r="K273">
        <v>38789</v>
      </c>
      <c r="L273" t="s">
        <v>266</v>
      </c>
      <c r="M273">
        <v>0.23</v>
      </c>
    </row>
    <row r="274" spans="1:13" x14ac:dyDescent="0.25">
      <c r="A274">
        <v>2004</v>
      </c>
      <c r="B274" t="s">
        <v>259</v>
      </c>
      <c r="C274">
        <v>55093</v>
      </c>
      <c r="D274" t="s">
        <v>279</v>
      </c>
      <c r="E274" t="s">
        <v>261</v>
      </c>
      <c r="F274" t="s">
        <v>270</v>
      </c>
      <c r="G274" t="s">
        <v>267</v>
      </c>
      <c r="H274">
        <v>20676.6108796314</v>
      </c>
      <c r="I274" t="s">
        <v>264</v>
      </c>
      <c r="J274" t="s">
        <v>265</v>
      </c>
      <c r="K274">
        <v>38789</v>
      </c>
      <c r="L274" t="s">
        <v>266</v>
      </c>
      <c r="M274">
        <v>0.53</v>
      </c>
    </row>
    <row r="275" spans="1:13" x14ac:dyDescent="0.25">
      <c r="A275">
        <v>2004</v>
      </c>
      <c r="B275" t="s">
        <v>259</v>
      </c>
      <c r="C275">
        <v>55093</v>
      </c>
      <c r="D275" t="s">
        <v>279</v>
      </c>
      <c r="E275" t="s">
        <v>261</v>
      </c>
      <c r="F275" t="s">
        <v>270</v>
      </c>
      <c r="G275" t="s">
        <v>269</v>
      </c>
      <c r="H275">
        <v>0.59842009615852298</v>
      </c>
      <c r="I275" t="s">
        <v>264</v>
      </c>
      <c r="J275" t="s">
        <v>265</v>
      </c>
      <c r="K275">
        <v>38789</v>
      </c>
      <c r="L275" t="s">
        <v>266</v>
      </c>
      <c r="M275">
        <v>0</v>
      </c>
    </row>
    <row r="276" spans="1:13" x14ac:dyDescent="0.25">
      <c r="A276">
        <v>2004</v>
      </c>
      <c r="B276" t="s">
        <v>259</v>
      </c>
      <c r="C276">
        <v>55109</v>
      </c>
      <c r="D276" t="s">
        <v>280</v>
      </c>
      <c r="E276" t="s">
        <v>261</v>
      </c>
      <c r="F276" t="s">
        <v>262</v>
      </c>
      <c r="G276" t="s">
        <v>263</v>
      </c>
      <c r="H276">
        <v>418789.95785874402</v>
      </c>
      <c r="I276" t="s">
        <v>264</v>
      </c>
      <c r="J276" t="s">
        <v>265</v>
      </c>
      <c r="K276">
        <v>73988</v>
      </c>
      <c r="L276" t="s">
        <v>266</v>
      </c>
      <c r="M276">
        <v>5.66</v>
      </c>
    </row>
    <row r="277" spans="1:13" x14ac:dyDescent="0.25">
      <c r="A277">
        <v>2004</v>
      </c>
      <c r="B277" t="s">
        <v>259</v>
      </c>
      <c r="C277">
        <v>55109</v>
      </c>
      <c r="D277" t="s">
        <v>280</v>
      </c>
      <c r="E277" t="s">
        <v>261</v>
      </c>
      <c r="F277" t="s">
        <v>262</v>
      </c>
      <c r="G277" t="s">
        <v>267</v>
      </c>
      <c r="H277">
        <v>24600.8862421626</v>
      </c>
      <c r="I277" t="s">
        <v>264</v>
      </c>
      <c r="J277" t="s">
        <v>265</v>
      </c>
      <c r="K277">
        <v>73988</v>
      </c>
      <c r="L277" t="s">
        <v>266</v>
      </c>
      <c r="M277">
        <v>0.33</v>
      </c>
    </row>
    <row r="278" spans="1:13" x14ac:dyDescent="0.25">
      <c r="A278">
        <v>2004</v>
      </c>
      <c r="B278" t="s">
        <v>259</v>
      </c>
      <c r="C278">
        <v>55109</v>
      </c>
      <c r="D278" t="s">
        <v>280</v>
      </c>
      <c r="E278" t="s">
        <v>261</v>
      </c>
      <c r="F278" t="s">
        <v>268</v>
      </c>
      <c r="G278" t="s">
        <v>263</v>
      </c>
      <c r="H278">
        <v>449.755676217847</v>
      </c>
      <c r="I278" t="s">
        <v>264</v>
      </c>
      <c r="J278" t="s">
        <v>265</v>
      </c>
      <c r="K278">
        <v>73988</v>
      </c>
      <c r="L278" t="s">
        <v>266</v>
      </c>
      <c r="M278">
        <v>0.01</v>
      </c>
    </row>
    <row r="279" spans="1:13" x14ac:dyDescent="0.25">
      <c r="A279">
        <v>2004</v>
      </c>
      <c r="B279" t="s">
        <v>259</v>
      </c>
      <c r="C279">
        <v>55109</v>
      </c>
      <c r="D279" t="s">
        <v>280</v>
      </c>
      <c r="E279" t="s">
        <v>261</v>
      </c>
      <c r="F279" t="s">
        <v>268</v>
      </c>
      <c r="G279" t="s">
        <v>267</v>
      </c>
      <c r="H279">
        <v>6968.48126955934</v>
      </c>
      <c r="I279" t="s">
        <v>264</v>
      </c>
      <c r="J279" t="s">
        <v>265</v>
      </c>
      <c r="K279">
        <v>73988</v>
      </c>
      <c r="L279" t="s">
        <v>266</v>
      </c>
      <c r="M279">
        <v>0.09</v>
      </c>
    </row>
    <row r="280" spans="1:13" x14ac:dyDescent="0.25">
      <c r="A280">
        <v>2004</v>
      </c>
      <c r="B280" t="s">
        <v>259</v>
      </c>
      <c r="C280">
        <v>55109</v>
      </c>
      <c r="D280" t="s">
        <v>280</v>
      </c>
      <c r="E280" t="s">
        <v>261</v>
      </c>
      <c r="F280" t="s">
        <v>268</v>
      </c>
      <c r="G280" t="s">
        <v>269</v>
      </c>
      <c r="H280">
        <v>87.196445618367704</v>
      </c>
      <c r="I280" t="s">
        <v>264</v>
      </c>
      <c r="J280" t="s">
        <v>265</v>
      </c>
      <c r="K280">
        <v>73988</v>
      </c>
      <c r="L280" t="s">
        <v>266</v>
      </c>
      <c r="M280">
        <v>0</v>
      </c>
    </row>
    <row r="281" spans="1:13" x14ac:dyDescent="0.25">
      <c r="A281">
        <v>2004</v>
      </c>
      <c r="B281" t="s">
        <v>259</v>
      </c>
      <c r="C281">
        <v>55109</v>
      </c>
      <c r="D281" t="s">
        <v>280</v>
      </c>
      <c r="E281" t="s">
        <v>261</v>
      </c>
      <c r="F281" t="s">
        <v>270</v>
      </c>
      <c r="G281" t="s">
        <v>263</v>
      </c>
      <c r="H281">
        <v>28162.499568613901</v>
      </c>
      <c r="I281" t="s">
        <v>264</v>
      </c>
      <c r="J281" t="s">
        <v>265</v>
      </c>
      <c r="K281">
        <v>73988</v>
      </c>
      <c r="L281" t="s">
        <v>266</v>
      </c>
      <c r="M281">
        <v>0.38</v>
      </c>
    </row>
    <row r="282" spans="1:13" x14ac:dyDescent="0.25">
      <c r="A282">
        <v>2004</v>
      </c>
      <c r="B282" t="s">
        <v>259</v>
      </c>
      <c r="C282">
        <v>55109</v>
      </c>
      <c r="D282" t="s">
        <v>280</v>
      </c>
      <c r="E282" t="s">
        <v>261</v>
      </c>
      <c r="F282" t="s">
        <v>270</v>
      </c>
      <c r="G282" t="s">
        <v>267</v>
      </c>
      <c r="H282">
        <v>136104.28678735701</v>
      </c>
      <c r="I282" t="s">
        <v>264</v>
      </c>
      <c r="J282" t="s">
        <v>265</v>
      </c>
      <c r="K282">
        <v>73988</v>
      </c>
      <c r="L282" t="s">
        <v>266</v>
      </c>
      <c r="M282">
        <v>1.84</v>
      </c>
    </row>
    <row r="283" spans="1:13" x14ac:dyDescent="0.25">
      <c r="A283">
        <v>2004</v>
      </c>
      <c r="B283" t="s">
        <v>259</v>
      </c>
      <c r="C283">
        <v>55109</v>
      </c>
      <c r="D283" t="s">
        <v>280</v>
      </c>
      <c r="E283" t="s">
        <v>261</v>
      </c>
      <c r="F283" t="s">
        <v>270</v>
      </c>
      <c r="G283" t="s">
        <v>269</v>
      </c>
      <c r="H283">
        <v>3.2926733804502901</v>
      </c>
      <c r="I283" t="s">
        <v>264</v>
      </c>
      <c r="J283" t="s">
        <v>265</v>
      </c>
      <c r="K283">
        <v>73988</v>
      </c>
      <c r="L283" t="s">
        <v>266</v>
      </c>
      <c r="M283">
        <v>0</v>
      </c>
    </row>
    <row r="284" spans="1:13" x14ac:dyDescent="0.25">
      <c r="A284">
        <v>2005</v>
      </c>
      <c r="B284" t="s">
        <v>259</v>
      </c>
      <c r="C284">
        <v>27003</v>
      </c>
      <c r="D284" t="s">
        <v>260</v>
      </c>
      <c r="E284" t="s">
        <v>261</v>
      </c>
      <c r="F284" t="s">
        <v>262</v>
      </c>
      <c r="G284" t="s">
        <v>263</v>
      </c>
      <c r="H284">
        <v>1058381.0831240199</v>
      </c>
      <c r="I284" t="s">
        <v>264</v>
      </c>
      <c r="J284" t="s">
        <v>265</v>
      </c>
      <c r="K284">
        <v>319830</v>
      </c>
      <c r="L284" t="s">
        <v>266</v>
      </c>
      <c r="M284">
        <v>3.31</v>
      </c>
    </row>
    <row r="285" spans="1:13" x14ac:dyDescent="0.25">
      <c r="A285">
        <v>2005</v>
      </c>
      <c r="B285" t="s">
        <v>259</v>
      </c>
      <c r="C285">
        <v>27003</v>
      </c>
      <c r="D285" t="s">
        <v>260</v>
      </c>
      <c r="E285" t="s">
        <v>261</v>
      </c>
      <c r="F285" t="s">
        <v>262</v>
      </c>
      <c r="G285" t="s">
        <v>267</v>
      </c>
      <c r="H285">
        <v>33308.748534486003</v>
      </c>
      <c r="I285" t="s">
        <v>264</v>
      </c>
      <c r="J285" t="s">
        <v>265</v>
      </c>
      <c r="K285">
        <v>319830</v>
      </c>
      <c r="L285" t="s">
        <v>266</v>
      </c>
      <c r="M285">
        <v>0.1</v>
      </c>
    </row>
    <row r="286" spans="1:13" x14ac:dyDescent="0.25">
      <c r="A286">
        <v>2005</v>
      </c>
      <c r="B286" t="s">
        <v>259</v>
      </c>
      <c r="C286">
        <v>27003</v>
      </c>
      <c r="D286" t="s">
        <v>260</v>
      </c>
      <c r="E286" t="s">
        <v>261</v>
      </c>
      <c r="F286" t="s">
        <v>268</v>
      </c>
      <c r="G286" t="s">
        <v>263</v>
      </c>
      <c r="H286">
        <v>705.48994253343301</v>
      </c>
      <c r="I286" t="s">
        <v>264</v>
      </c>
      <c r="J286" t="s">
        <v>265</v>
      </c>
      <c r="K286">
        <v>319830</v>
      </c>
      <c r="L286" t="s">
        <v>266</v>
      </c>
      <c r="M286">
        <v>0</v>
      </c>
    </row>
    <row r="287" spans="1:13" x14ac:dyDescent="0.25">
      <c r="A287">
        <v>2005</v>
      </c>
      <c r="B287" t="s">
        <v>259</v>
      </c>
      <c r="C287">
        <v>27003</v>
      </c>
      <c r="D287" t="s">
        <v>260</v>
      </c>
      <c r="E287" t="s">
        <v>261</v>
      </c>
      <c r="F287" t="s">
        <v>268</v>
      </c>
      <c r="G287" t="s">
        <v>267</v>
      </c>
      <c r="H287">
        <v>13710.7614725698</v>
      </c>
      <c r="I287" t="s">
        <v>264</v>
      </c>
      <c r="J287" t="s">
        <v>265</v>
      </c>
      <c r="K287">
        <v>319830</v>
      </c>
      <c r="L287" t="s">
        <v>266</v>
      </c>
      <c r="M287">
        <v>0.04</v>
      </c>
    </row>
    <row r="288" spans="1:13" x14ac:dyDescent="0.25">
      <c r="A288">
        <v>2005</v>
      </c>
      <c r="B288" t="s">
        <v>259</v>
      </c>
      <c r="C288">
        <v>27003</v>
      </c>
      <c r="D288" t="s">
        <v>260</v>
      </c>
      <c r="E288" t="s">
        <v>261</v>
      </c>
      <c r="F288" t="s">
        <v>268</v>
      </c>
      <c r="G288" t="s">
        <v>269</v>
      </c>
      <c r="H288">
        <v>14.923180732279</v>
      </c>
      <c r="I288" t="s">
        <v>264</v>
      </c>
      <c r="J288" t="s">
        <v>265</v>
      </c>
      <c r="K288">
        <v>319830</v>
      </c>
      <c r="L288" t="s">
        <v>266</v>
      </c>
      <c r="M288">
        <v>0</v>
      </c>
    </row>
    <row r="289" spans="1:13" x14ac:dyDescent="0.25">
      <c r="A289">
        <v>2005</v>
      </c>
      <c r="B289" t="s">
        <v>259</v>
      </c>
      <c r="C289">
        <v>27003</v>
      </c>
      <c r="D289" t="s">
        <v>260</v>
      </c>
      <c r="E289" t="s">
        <v>261</v>
      </c>
      <c r="F289" t="s">
        <v>270</v>
      </c>
      <c r="G289" t="s">
        <v>263</v>
      </c>
      <c r="H289">
        <v>84096.628271748501</v>
      </c>
      <c r="I289" t="s">
        <v>264</v>
      </c>
      <c r="J289" t="s">
        <v>265</v>
      </c>
      <c r="K289">
        <v>319830</v>
      </c>
      <c r="L289" t="s">
        <v>266</v>
      </c>
      <c r="M289">
        <v>0.26</v>
      </c>
    </row>
    <row r="290" spans="1:13" x14ac:dyDescent="0.25">
      <c r="A290">
        <v>2005</v>
      </c>
      <c r="B290" t="s">
        <v>259</v>
      </c>
      <c r="C290">
        <v>27003</v>
      </c>
      <c r="D290" t="s">
        <v>260</v>
      </c>
      <c r="E290" t="s">
        <v>261</v>
      </c>
      <c r="F290" t="s">
        <v>270</v>
      </c>
      <c r="G290" t="s">
        <v>267</v>
      </c>
      <c r="H290">
        <v>285261.44969622802</v>
      </c>
      <c r="I290" t="s">
        <v>264</v>
      </c>
      <c r="J290" t="s">
        <v>265</v>
      </c>
      <c r="K290">
        <v>319830</v>
      </c>
      <c r="L290" t="s">
        <v>266</v>
      </c>
      <c r="M290">
        <v>0.89</v>
      </c>
    </row>
    <row r="291" spans="1:13" x14ac:dyDescent="0.25">
      <c r="A291">
        <v>2005</v>
      </c>
      <c r="B291" t="s">
        <v>259</v>
      </c>
      <c r="C291">
        <v>27003</v>
      </c>
      <c r="D291" t="s">
        <v>260</v>
      </c>
      <c r="E291" t="s">
        <v>261</v>
      </c>
      <c r="F291" t="s">
        <v>270</v>
      </c>
      <c r="G291" t="s">
        <v>269</v>
      </c>
      <c r="H291">
        <v>2.0546568253306798</v>
      </c>
      <c r="I291" t="s">
        <v>264</v>
      </c>
      <c r="J291" t="s">
        <v>265</v>
      </c>
      <c r="K291">
        <v>319830</v>
      </c>
      <c r="L291" t="s">
        <v>266</v>
      </c>
      <c r="M291">
        <v>0</v>
      </c>
    </row>
    <row r="292" spans="1:13" x14ac:dyDescent="0.25">
      <c r="A292">
        <v>2005</v>
      </c>
      <c r="B292" t="s">
        <v>259</v>
      </c>
      <c r="C292">
        <v>27019</v>
      </c>
      <c r="D292" t="s">
        <v>271</v>
      </c>
      <c r="E292" t="s">
        <v>261</v>
      </c>
      <c r="F292" t="s">
        <v>262</v>
      </c>
      <c r="G292" t="s">
        <v>263</v>
      </c>
      <c r="H292">
        <v>322587.05287620198</v>
      </c>
      <c r="I292" t="s">
        <v>264</v>
      </c>
      <c r="J292" t="s">
        <v>265</v>
      </c>
      <c r="K292">
        <v>83258</v>
      </c>
      <c r="L292" t="s">
        <v>266</v>
      </c>
      <c r="M292">
        <v>3.87</v>
      </c>
    </row>
    <row r="293" spans="1:13" x14ac:dyDescent="0.25">
      <c r="A293">
        <v>2005</v>
      </c>
      <c r="B293" t="s">
        <v>259</v>
      </c>
      <c r="C293">
        <v>27019</v>
      </c>
      <c r="D293" t="s">
        <v>271</v>
      </c>
      <c r="E293" t="s">
        <v>261</v>
      </c>
      <c r="F293" t="s">
        <v>262</v>
      </c>
      <c r="G293" t="s">
        <v>267</v>
      </c>
      <c r="H293">
        <v>14152.2249691132</v>
      </c>
      <c r="I293" t="s">
        <v>264</v>
      </c>
      <c r="J293" t="s">
        <v>265</v>
      </c>
      <c r="K293">
        <v>83258</v>
      </c>
      <c r="L293" t="s">
        <v>266</v>
      </c>
      <c r="M293">
        <v>0.17</v>
      </c>
    </row>
    <row r="294" spans="1:13" x14ac:dyDescent="0.25">
      <c r="A294">
        <v>2005</v>
      </c>
      <c r="B294" t="s">
        <v>259</v>
      </c>
      <c r="C294">
        <v>27019</v>
      </c>
      <c r="D294" t="s">
        <v>271</v>
      </c>
      <c r="E294" t="s">
        <v>261</v>
      </c>
      <c r="F294" t="s">
        <v>268</v>
      </c>
      <c r="G294" t="s">
        <v>263</v>
      </c>
      <c r="H294">
        <v>194.71837865381701</v>
      </c>
      <c r="I294" t="s">
        <v>264</v>
      </c>
      <c r="J294" t="s">
        <v>265</v>
      </c>
      <c r="K294">
        <v>83258</v>
      </c>
      <c r="L294" t="s">
        <v>266</v>
      </c>
      <c r="M294">
        <v>0</v>
      </c>
    </row>
    <row r="295" spans="1:13" x14ac:dyDescent="0.25">
      <c r="A295">
        <v>2005</v>
      </c>
      <c r="B295" t="s">
        <v>259</v>
      </c>
      <c r="C295">
        <v>27019</v>
      </c>
      <c r="D295" t="s">
        <v>271</v>
      </c>
      <c r="E295" t="s">
        <v>261</v>
      </c>
      <c r="F295" t="s">
        <v>268</v>
      </c>
      <c r="G295" t="s">
        <v>267</v>
      </c>
      <c r="H295">
        <v>3991.95238068444</v>
      </c>
      <c r="I295" t="s">
        <v>264</v>
      </c>
      <c r="J295" t="s">
        <v>265</v>
      </c>
      <c r="K295">
        <v>83258</v>
      </c>
      <c r="L295" t="s">
        <v>266</v>
      </c>
      <c r="M295">
        <v>0.05</v>
      </c>
    </row>
    <row r="296" spans="1:13" x14ac:dyDescent="0.25">
      <c r="A296">
        <v>2005</v>
      </c>
      <c r="B296" t="s">
        <v>259</v>
      </c>
      <c r="C296">
        <v>27019</v>
      </c>
      <c r="D296" t="s">
        <v>271</v>
      </c>
      <c r="E296" t="s">
        <v>261</v>
      </c>
      <c r="F296" t="s">
        <v>268</v>
      </c>
      <c r="G296" t="s">
        <v>269</v>
      </c>
      <c r="H296">
        <v>144.60660215543601</v>
      </c>
      <c r="I296" t="s">
        <v>264</v>
      </c>
      <c r="J296" t="s">
        <v>265</v>
      </c>
      <c r="K296">
        <v>83258</v>
      </c>
      <c r="L296" t="s">
        <v>266</v>
      </c>
      <c r="M296">
        <v>0</v>
      </c>
    </row>
    <row r="297" spans="1:13" x14ac:dyDescent="0.25">
      <c r="A297">
        <v>2005</v>
      </c>
      <c r="B297" t="s">
        <v>259</v>
      </c>
      <c r="C297">
        <v>27019</v>
      </c>
      <c r="D297" t="s">
        <v>271</v>
      </c>
      <c r="E297" t="s">
        <v>261</v>
      </c>
      <c r="F297" t="s">
        <v>270</v>
      </c>
      <c r="G297" t="s">
        <v>263</v>
      </c>
      <c r="H297">
        <v>17390.442156282101</v>
      </c>
      <c r="I297" t="s">
        <v>264</v>
      </c>
      <c r="J297" t="s">
        <v>265</v>
      </c>
      <c r="K297">
        <v>83258</v>
      </c>
      <c r="L297" t="s">
        <v>266</v>
      </c>
      <c r="M297">
        <v>0.21</v>
      </c>
    </row>
    <row r="298" spans="1:13" x14ac:dyDescent="0.25">
      <c r="A298">
        <v>2005</v>
      </c>
      <c r="B298" t="s">
        <v>259</v>
      </c>
      <c r="C298">
        <v>27019</v>
      </c>
      <c r="D298" t="s">
        <v>271</v>
      </c>
      <c r="E298" t="s">
        <v>261</v>
      </c>
      <c r="F298" t="s">
        <v>270</v>
      </c>
      <c r="G298" t="s">
        <v>267</v>
      </c>
      <c r="H298">
        <v>87895.790757830604</v>
      </c>
      <c r="I298" t="s">
        <v>264</v>
      </c>
      <c r="J298" t="s">
        <v>265</v>
      </c>
      <c r="K298">
        <v>83258</v>
      </c>
      <c r="L298" t="s">
        <v>266</v>
      </c>
      <c r="M298">
        <v>1.06</v>
      </c>
    </row>
    <row r="299" spans="1:13" x14ac:dyDescent="0.25">
      <c r="A299">
        <v>2005</v>
      </c>
      <c r="B299" t="s">
        <v>259</v>
      </c>
      <c r="C299">
        <v>27019</v>
      </c>
      <c r="D299" t="s">
        <v>271</v>
      </c>
      <c r="E299" t="s">
        <v>261</v>
      </c>
      <c r="F299" t="s">
        <v>270</v>
      </c>
      <c r="G299" t="s">
        <v>269</v>
      </c>
      <c r="H299">
        <v>1.03721527591077</v>
      </c>
      <c r="I299" t="s">
        <v>264</v>
      </c>
      <c r="J299" t="s">
        <v>265</v>
      </c>
      <c r="K299">
        <v>83258</v>
      </c>
      <c r="L299" t="s">
        <v>266</v>
      </c>
      <c r="M299">
        <v>0</v>
      </c>
    </row>
    <row r="300" spans="1:13" x14ac:dyDescent="0.25">
      <c r="A300">
        <v>2005</v>
      </c>
      <c r="B300" t="s">
        <v>259</v>
      </c>
      <c r="C300">
        <v>27025</v>
      </c>
      <c r="D300" t="s">
        <v>272</v>
      </c>
      <c r="E300" t="s">
        <v>261</v>
      </c>
      <c r="F300" t="s">
        <v>262</v>
      </c>
      <c r="G300" t="s">
        <v>263</v>
      </c>
      <c r="H300">
        <v>297370.28999069001</v>
      </c>
      <c r="I300" t="s">
        <v>264</v>
      </c>
      <c r="J300" t="s">
        <v>265</v>
      </c>
      <c r="K300">
        <v>50283</v>
      </c>
      <c r="L300" t="s">
        <v>266</v>
      </c>
      <c r="M300">
        <v>5.91</v>
      </c>
    </row>
    <row r="301" spans="1:13" x14ac:dyDescent="0.25">
      <c r="A301">
        <v>2005</v>
      </c>
      <c r="B301" t="s">
        <v>259</v>
      </c>
      <c r="C301">
        <v>27025</v>
      </c>
      <c r="D301" t="s">
        <v>272</v>
      </c>
      <c r="E301" t="s">
        <v>261</v>
      </c>
      <c r="F301" t="s">
        <v>262</v>
      </c>
      <c r="G301" t="s">
        <v>267</v>
      </c>
      <c r="H301">
        <v>18049.637002558899</v>
      </c>
      <c r="I301" t="s">
        <v>264</v>
      </c>
      <c r="J301" t="s">
        <v>265</v>
      </c>
      <c r="K301">
        <v>50283</v>
      </c>
      <c r="L301" t="s">
        <v>266</v>
      </c>
      <c r="M301">
        <v>0.36</v>
      </c>
    </row>
    <row r="302" spans="1:13" x14ac:dyDescent="0.25">
      <c r="A302">
        <v>2005</v>
      </c>
      <c r="B302" t="s">
        <v>259</v>
      </c>
      <c r="C302">
        <v>27025</v>
      </c>
      <c r="D302" t="s">
        <v>272</v>
      </c>
      <c r="E302" t="s">
        <v>261</v>
      </c>
      <c r="F302" t="s">
        <v>268</v>
      </c>
      <c r="G302" t="s">
        <v>263</v>
      </c>
      <c r="H302">
        <v>608.18559888076504</v>
      </c>
      <c r="I302" t="s">
        <v>264</v>
      </c>
      <c r="J302" t="s">
        <v>265</v>
      </c>
      <c r="K302">
        <v>50283</v>
      </c>
      <c r="L302" t="s">
        <v>266</v>
      </c>
      <c r="M302">
        <v>0.01</v>
      </c>
    </row>
    <row r="303" spans="1:13" x14ac:dyDescent="0.25">
      <c r="A303">
        <v>2005</v>
      </c>
      <c r="B303" t="s">
        <v>259</v>
      </c>
      <c r="C303">
        <v>27025</v>
      </c>
      <c r="D303" t="s">
        <v>272</v>
      </c>
      <c r="E303" t="s">
        <v>261</v>
      </c>
      <c r="F303" t="s">
        <v>268</v>
      </c>
      <c r="G303" t="s">
        <v>267</v>
      </c>
      <c r="H303">
        <v>3239.3002553023198</v>
      </c>
      <c r="I303" t="s">
        <v>264</v>
      </c>
      <c r="J303" t="s">
        <v>265</v>
      </c>
      <c r="K303">
        <v>50283</v>
      </c>
      <c r="L303" t="s">
        <v>266</v>
      </c>
      <c r="M303">
        <v>0.06</v>
      </c>
    </row>
    <row r="304" spans="1:13" x14ac:dyDescent="0.25">
      <c r="A304">
        <v>2005</v>
      </c>
      <c r="B304" t="s">
        <v>259</v>
      </c>
      <c r="C304">
        <v>27025</v>
      </c>
      <c r="D304" t="s">
        <v>272</v>
      </c>
      <c r="E304" t="s">
        <v>261</v>
      </c>
      <c r="F304" t="s">
        <v>268</v>
      </c>
      <c r="G304" t="s">
        <v>269</v>
      </c>
      <c r="H304">
        <v>67.859548203375894</v>
      </c>
      <c r="I304" t="s">
        <v>264</v>
      </c>
      <c r="J304" t="s">
        <v>265</v>
      </c>
      <c r="K304">
        <v>50283</v>
      </c>
      <c r="L304" t="s">
        <v>266</v>
      </c>
      <c r="M304">
        <v>0</v>
      </c>
    </row>
    <row r="305" spans="1:13" x14ac:dyDescent="0.25">
      <c r="A305">
        <v>2005</v>
      </c>
      <c r="B305" t="s">
        <v>259</v>
      </c>
      <c r="C305">
        <v>27025</v>
      </c>
      <c r="D305" t="s">
        <v>272</v>
      </c>
      <c r="E305" t="s">
        <v>261</v>
      </c>
      <c r="F305" t="s">
        <v>270</v>
      </c>
      <c r="G305" t="s">
        <v>263</v>
      </c>
      <c r="H305">
        <v>14154.8910867578</v>
      </c>
      <c r="I305" t="s">
        <v>264</v>
      </c>
      <c r="J305" t="s">
        <v>265</v>
      </c>
      <c r="K305">
        <v>50283</v>
      </c>
      <c r="L305" t="s">
        <v>266</v>
      </c>
      <c r="M305">
        <v>0.28000000000000003</v>
      </c>
    </row>
    <row r="306" spans="1:13" x14ac:dyDescent="0.25">
      <c r="A306">
        <v>2005</v>
      </c>
      <c r="B306" t="s">
        <v>259</v>
      </c>
      <c r="C306">
        <v>27025</v>
      </c>
      <c r="D306" t="s">
        <v>272</v>
      </c>
      <c r="E306" t="s">
        <v>261</v>
      </c>
      <c r="F306" t="s">
        <v>270</v>
      </c>
      <c r="G306" t="s">
        <v>267</v>
      </c>
      <c r="H306">
        <v>79075.209589842503</v>
      </c>
      <c r="I306" t="s">
        <v>264</v>
      </c>
      <c r="J306" t="s">
        <v>265</v>
      </c>
      <c r="K306">
        <v>50283</v>
      </c>
      <c r="L306" t="s">
        <v>266</v>
      </c>
      <c r="M306">
        <v>1.57</v>
      </c>
    </row>
    <row r="307" spans="1:13" x14ac:dyDescent="0.25">
      <c r="A307">
        <v>2005</v>
      </c>
      <c r="B307" t="s">
        <v>259</v>
      </c>
      <c r="C307">
        <v>27025</v>
      </c>
      <c r="D307" t="s">
        <v>272</v>
      </c>
      <c r="E307" t="s">
        <v>261</v>
      </c>
      <c r="F307" t="s">
        <v>270</v>
      </c>
      <c r="G307" t="s">
        <v>269</v>
      </c>
      <c r="H307">
        <v>0.48609488412185498</v>
      </c>
      <c r="I307" t="s">
        <v>264</v>
      </c>
      <c r="J307" t="s">
        <v>265</v>
      </c>
      <c r="K307">
        <v>50283</v>
      </c>
      <c r="L307" t="s">
        <v>266</v>
      </c>
      <c r="M307">
        <v>0</v>
      </c>
    </row>
    <row r="308" spans="1:13" x14ac:dyDescent="0.25">
      <c r="A308">
        <v>2005</v>
      </c>
      <c r="B308" t="s">
        <v>259</v>
      </c>
      <c r="C308">
        <v>27037</v>
      </c>
      <c r="D308" t="s">
        <v>273</v>
      </c>
      <c r="E308" t="s">
        <v>261</v>
      </c>
      <c r="F308" t="s">
        <v>262</v>
      </c>
      <c r="G308" t="s">
        <v>263</v>
      </c>
      <c r="H308">
        <v>1376191.4989048301</v>
      </c>
      <c r="I308" t="s">
        <v>264</v>
      </c>
      <c r="J308" t="s">
        <v>265</v>
      </c>
      <c r="K308">
        <v>381829</v>
      </c>
      <c r="L308" t="s">
        <v>266</v>
      </c>
      <c r="M308">
        <v>3.6</v>
      </c>
    </row>
    <row r="309" spans="1:13" x14ac:dyDescent="0.25">
      <c r="A309">
        <v>2005</v>
      </c>
      <c r="B309" t="s">
        <v>259</v>
      </c>
      <c r="C309">
        <v>27037</v>
      </c>
      <c r="D309" t="s">
        <v>273</v>
      </c>
      <c r="E309" t="s">
        <v>261</v>
      </c>
      <c r="F309" t="s">
        <v>262</v>
      </c>
      <c r="G309" t="s">
        <v>267</v>
      </c>
      <c r="H309">
        <v>33506.777785874998</v>
      </c>
      <c r="I309" t="s">
        <v>264</v>
      </c>
      <c r="J309" t="s">
        <v>265</v>
      </c>
      <c r="K309">
        <v>381829</v>
      </c>
      <c r="L309" t="s">
        <v>266</v>
      </c>
      <c r="M309">
        <v>0.09</v>
      </c>
    </row>
    <row r="310" spans="1:13" x14ac:dyDescent="0.25">
      <c r="A310">
        <v>2005</v>
      </c>
      <c r="B310" t="s">
        <v>259</v>
      </c>
      <c r="C310">
        <v>27037</v>
      </c>
      <c r="D310" t="s">
        <v>273</v>
      </c>
      <c r="E310" t="s">
        <v>261</v>
      </c>
      <c r="F310" t="s">
        <v>262</v>
      </c>
      <c r="G310" t="s">
        <v>269</v>
      </c>
      <c r="H310">
        <v>0</v>
      </c>
      <c r="I310" t="s">
        <v>264</v>
      </c>
      <c r="J310" t="s">
        <v>265</v>
      </c>
      <c r="K310">
        <v>381829</v>
      </c>
      <c r="L310" t="s">
        <v>266</v>
      </c>
      <c r="M310">
        <v>0</v>
      </c>
    </row>
    <row r="311" spans="1:13" x14ac:dyDescent="0.25">
      <c r="A311">
        <v>2005</v>
      </c>
      <c r="B311" t="s">
        <v>259</v>
      </c>
      <c r="C311">
        <v>27037</v>
      </c>
      <c r="D311" t="s">
        <v>273</v>
      </c>
      <c r="E311" t="s">
        <v>261</v>
      </c>
      <c r="F311" t="s">
        <v>268</v>
      </c>
      <c r="G311" t="s">
        <v>263</v>
      </c>
      <c r="H311">
        <v>667.91398613921695</v>
      </c>
      <c r="I311" t="s">
        <v>264</v>
      </c>
      <c r="J311" t="s">
        <v>265</v>
      </c>
      <c r="K311">
        <v>381829</v>
      </c>
      <c r="L311" t="s">
        <v>266</v>
      </c>
      <c r="M311">
        <v>0</v>
      </c>
    </row>
    <row r="312" spans="1:13" x14ac:dyDescent="0.25">
      <c r="A312">
        <v>2005</v>
      </c>
      <c r="B312" t="s">
        <v>259</v>
      </c>
      <c r="C312">
        <v>27037</v>
      </c>
      <c r="D312" t="s">
        <v>273</v>
      </c>
      <c r="E312" t="s">
        <v>261</v>
      </c>
      <c r="F312" t="s">
        <v>268</v>
      </c>
      <c r="G312" t="s">
        <v>267</v>
      </c>
      <c r="H312">
        <v>17875.2077863343</v>
      </c>
      <c r="I312" t="s">
        <v>264</v>
      </c>
      <c r="J312" t="s">
        <v>265</v>
      </c>
      <c r="K312">
        <v>381829</v>
      </c>
      <c r="L312" t="s">
        <v>266</v>
      </c>
      <c r="M312">
        <v>0.05</v>
      </c>
    </row>
    <row r="313" spans="1:13" x14ac:dyDescent="0.25">
      <c r="A313">
        <v>2005</v>
      </c>
      <c r="B313" t="s">
        <v>259</v>
      </c>
      <c r="C313">
        <v>27037</v>
      </c>
      <c r="D313" t="s">
        <v>273</v>
      </c>
      <c r="E313" t="s">
        <v>261</v>
      </c>
      <c r="F313" t="s">
        <v>268</v>
      </c>
      <c r="G313" t="s">
        <v>269</v>
      </c>
      <c r="H313">
        <v>29.381368986071799</v>
      </c>
      <c r="I313" t="s">
        <v>264</v>
      </c>
      <c r="J313" t="s">
        <v>265</v>
      </c>
      <c r="K313">
        <v>381829</v>
      </c>
      <c r="L313" t="s">
        <v>266</v>
      </c>
      <c r="M313">
        <v>0</v>
      </c>
    </row>
    <row r="314" spans="1:13" x14ac:dyDescent="0.25">
      <c r="A314">
        <v>2005</v>
      </c>
      <c r="B314" t="s">
        <v>259</v>
      </c>
      <c r="C314">
        <v>27037</v>
      </c>
      <c r="D314" t="s">
        <v>273</v>
      </c>
      <c r="E314" t="s">
        <v>261</v>
      </c>
      <c r="F314" t="s">
        <v>270</v>
      </c>
      <c r="G314" t="s">
        <v>263</v>
      </c>
      <c r="H314">
        <v>81870.737725483006</v>
      </c>
      <c r="I314" t="s">
        <v>264</v>
      </c>
      <c r="J314" t="s">
        <v>265</v>
      </c>
      <c r="K314">
        <v>381829</v>
      </c>
      <c r="L314" t="s">
        <v>266</v>
      </c>
      <c r="M314">
        <v>0.21</v>
      </c>
    </row>
    <row r="315" spans="1:13" x14ac:dyDescent="0.25">
      <c r="A315">
        <v>2005</v>
      </c>
      <c r="B315" t="s">
        <v>259</v>
      </c>
      <c r="C315">
        <v>27037</v>
      </c>
      <c r="D315" t="s">
        <v>273</v>
      </c>
      <c r="E315" t="s">
        <v>261</v>
      </c>
      <c r="F315" t="s">
        <v>270</v>
      </c>
      <c r="G315" t="s">
        <v>267</v>
      </c>
      <c r="H315">
        <v>386487.61937445402</v>
      </c>
      <c r="I315" t="s">
        <v>264</v>
      </c>
      <c r="J315" t="s">
        <v>265</v>
      </c>
      <c r="K315">
        <v>381829</v>
      </c>
      <c r="L315" t="s">
        <v>266</v>
      </c>
      <c r="M315">
        <v>1.01</v>
      </c>
    </row>
    <row r="316" spans="1:13" x14ac:dyDescent="0.25">
      <c r="A316">
        <v>2005</v>
      </c>
      <c r="B316" t="s">
        <v>259</v>
      </c>
      <c r="C316">
        <v>27037</v>
      </c>
      <c r="D316" t="s">
        <v>273</v>
      </c>
      <c r="E316" t="s">
        <v>261</v>
      </c>
      <c r="F316" t="s">
        <v>270</v>
      </c>
      <c r="G316" t="s">
        <v>269</v>
      </c>
      <c r="H316">
        <v>2.4395409510992998</v>
      </c>
      <c r="I316" t="s">
        <v>264</v>
      </c>
      <c r="J316" t="s">
        <v>265</v>
      </c>
      <c r="K316">
        <v>381829</v>
      </c>
      <c r="L316" t="s">
        <v>266</v>
      </c>
      <c r="M316">
        <v>0</v>
      </c>
    </row>
    <row r="317" spans="1:13" x14ac:dyDescent="0.25">
      <c r="A317">
        <v>2005</v>
      </c>
      <c r="B317" t="s">
        <v>259</v>
      </c>
      <c r="C317">
        <v>27053</v>
      </c>
      <c r="D317" t="s">
        <v>274</v>
      </c>
      <c r="E317" t="s">
        <v>261</v>
      </c>
      <c r="F317" t="s">
        <v>262</v>
      </c>
      <c r="G317" t="s">
        <v>263</v>
      </c>
      <c r="H317">
        <v>3631486.58737831</v>
      </c>
      <c r="I317" t="s">
        <v>264</v>
      </c>
      <c r="J317" t="s">
        <v>265</v>
      </c>
      <c r="K317">
        <v>1117015</v>
      </c>
      <c r="L317" t="s">
        <v>266</v>
      </c>
      <c r="M317">
        <v>3.25</v>
      </c>
    </row>
    <row r="318" spans="1:13" x14ac:dyDescent="0.25">
      <c r="A318">
        <v>2005</v>
      </c>
      <c r="B318" t="s">
        <v>259</v>
      </c>
      <c r="C318">
        <v>27053</v>
      </c>
      <c r="D318" t="s">
        <v>274</v>
      </c>
      <c r="E318" t="s">
        <v>261</v>
      </c>
      <c r="F318" t="s">
        <v>262</v>
      </c>
      <c r="G318" t="s">
        <v>267</v>
      </c>
      <c r="H318">
        <v>59009.084815116999</v>
      </c>
      <c r="I318" t="s">
        <v>264</v>
      </c>
      <c r="J318" t="s">
        <v>265</v>
      </c>
      <c r="K318">
        <v>1117015</v>
      </c>
      <c r="L318" t="s">
        <v>266</v>
      </c>
      <c r="M318">
        <v>0.05</v>
      </c>
    </row>
    <row r="319" spans="1:13" x14ac:dyDescent="0.25">
      <c r="A319">
        <v>2005</v>
      </c>
      <c r="B319" t="s">
        <v>259</v>
      </c>
      <c r="C319">
        <v>27053</v>
      </c>
      <c r="D319" t="s">
        <v>274</v>
      </c>
      <c r="E319" t="s">
        <v>261</v>
      </c>
      <c r="F319" t="s">
        <v>262</v>
      </c>
      <c r="G319" t="s">
        <v>269</v>
      </c>
      <c r="H319">
        <v>0</v>
      </c>
      <c r="I319" t="s">
        <v>264</v>
      </c>
      <c r="J319" t="s">
        <v>265</v>
      </c>
      <c r="K319">
        <v>1117015</v>
      </c>
      <c r="L319" t="s">
        <v>266</v>
      </c>
      <c r="M319">
        <v>0</v>
      </c>
    </row>
    <row r="320" spans="1:13" x14ac:dyDescent="0.25">
      <c r="A320">
        <v>2005</v>
      </c>
      <c r="B320" t="s">
        <v>259</v>
      </c>
      <c r="C320">
        <v>27053</v>
      </c>
      <c r="D320" t="s">
        <v>274</v>
      </c>
      <c r="E320" t="s">
        <v>261</v>
      </c>
      <c r="F320" t="s">
        <v>268</v>
      </c>
      <c r="G320" t="s">
        <v>263</v>
      </c>
      <c r="H320">
        <v>3383.85681043463</v>
      </c>
      <c r="I320" t="s">
        <v>264</v>
      </c>
      <c r="J320" t="s">
        <v>265</v>
      </c>
      <c r="K320">
        <v>1117015</v>
      </c>
      <c r="L320" t="s">
        <v>266</v>
      </c>
      <c r="M320">
        <v>0</v>
      </c>
    </row>
    <row r="321" spans="1:13" x14ac:dyDescent="0.25">
      <c r="A321">
        <v>2005</v>
      </c>
      <c r="B321" t="s">
        <v>259</v>
      </c>
      <c r="C321">
        <v>27053</v>
      </c>
      <c r="D321" t="s">
        <v>274</v>
      </c>
      <c r="E321" t="s">
        <v>261</v>
      </c>
      <c r="F321" t="s">
        <v>268</v>
      </c>
      <c r="G321" t="s">
        <v>267</v>
      </c>
      <c r="H321">
        <v>48465.9020796935</v>
      </c>
      <c r="I321" t="s">
        <v>264</v>
      </c>
      <c r="J321" t="s">
        <v>265</v>
      </c>
      <c r="K321">
        <v>1117015</v>
      </c>
      <c r="L321" t="s">
        <v>266</v>
      </c>
      <c r="M321">
        <v>0.04</v>
      </c>
    </row>
    <row r="322" spans="1:13" x14ac:dyDescent="0.25">
      <c r="A322">
        <v>2005</v>
      </c>
      <c r="B322" t="s">
        <v>259</v>
      </c>
      <c r="C322">
        <v>27053</v>
      </c>
      <c r="D322" t="s">
        <v>274</v>
      </c>
      <c r="E322" t="s">
        <v>261</v>
      </c>
      <c r="F322" t="s">
        <v>268</v>
      </c>
      <c r="G322" t="s">
        <v>269</v>
      </c>
      <c r="H322">
        <v>27.274162531878702</v>
      </c>
      <c r="I322" t="s">
        <v>264</v>
      </c>
      <c r="J322" t="s">
        <v>265</v>
      </c>
      <c r="K322">
        <v>1117015</v>
      </c>
      <c r="L322" t="s">
        <v>266</v>
      </c>
      <c r="M322">
        <v>0</v>
      </c>
    </row>
    <row r="323" spans="1:13" x14ac:dyDescent="0.25">
      <c r="A323">
        <v>2005</v>
      </c>
      <c r="B323" t="s">
        <v>259</v>
      </c>
      <c r="C323">
        <v>27053</v>
      </c>
      <c r="D323" t="s">
        <v>274</v>
      </c>
      <c r="E323" t="s">
        <v>261</v>
      </c>
      <c r="F323" t="s">
        <v>270</v>
      </c>
      <c r="G323" t="s">
        <v>263</v>
      </c>
      <c r="H323">
        <v>340064.62465932802</v>
      </c>
      <c r="I323" t="s">
        <v>264</v>
      </c>
      <c r="J323" t="s">
        <v>265</v>
      </c>
      <c r="K323">
        <v>1117015</v>
      </c>
      <c r="L323" t="s">
        <v>266</v>
      </c>
      <c r="M323">
        <v>0.3</v>
      </c>
    </row>
    <row r="324" spans="1:13" x14ac:dyDescent="0.25">
      <c r="A324">
        <v>2005</v>
      </c>
      <c r="B324" t="s">
        <v>259</v>
      </c>
      <c r="C324">
        <v>27053</v>
      </c>
      <c r="D324" t="s">
        <v>274</v>
      </c>
      <c r="E324" t="s">
        <v>261</v>
      </c>
      <c r="F324" t="s">
        <v>270</v>
      </c>
      <c r="G324" t="s">
        <v>267</v>
      </c>
      <c r="H324">
        <v>989452.93562580901</v>
      </c>
      <c r="I324" t="s">
        <v>264</v>
      </c>
      <c r="J324" t="s">
        <v>265</v>
      </c>
      <c r="K324">
        <v>1117015</v>
      </c>
      <c r="L324" t="s">
        <v>266</v>
      </c>
      <c r="M324">
        <v>0.89</v>
      </c>
    </row>
    <row r="325" spans="1:13" x14ac:dyDescent="0.25">
      <c r="A325">
        <v>2005</v>
      </c>
      <c r="B325" t="s">
        <v>259</v>
      </c>
      <c r="C325">
        <v>27053</v>
      </c>
      <c r="D325" t="s">
        <v>274</v>
      </c>
      <c r="E325" t="s">
        <v>261</v>
      </c>
      <c r="F325" t="s">
        <v>270</v>
      </c>
      <c r="G325" t="s">
        <v>269</v>
      </c>
      <c r="H325">
        <v>6.6061508515351797</v>
      </c>
      <c r="I325" t="s">
        <v>264</v>
      </c>
      <c r="J325" t="s">
        <v>265</v>
      </c>
      <c r="K325">
        <v>1117015</v>
      </c>
      <c r="L325" t="s">
        <v>266</v>
      </c>
      <c r="M325">
        <v>0</v>
      </c>
    </row>
    <row r="326" spans="1:13" x14ac:dyDescent="0.25">
      <c r="A326">
        <v>2005</v>
      </c>
      <c r="B326" t="s">
        <v>259</v>
      </c>
      <c r="C326">
        <v>27123</v>
      </c>
      <c r="D326" t="s">
        <v>275</v>
      </c>
      <c r="E326" t="s">
        <v>261</v>
      </c>
      <c r="F326" t="s">
        <v>262</v>
      </c>
      <c r="G326" t="s">
        <v>263</v>
      </c>
      <c r="H326">
        <v>1523698.45857095</v>
      </c>
      <c r="I326" t="s">
        <v>264</v>
      </c>
      <c r="J326" t="s">
        <v>265</v>
      </c>
      <c r="K326">
        <v>497560</v>
      </c>
      <c r="L326" t="s">
        <v>266</v>
      </c>
      <c r="M326">
        <v>3.06</v>
      </c>
    </row>
    <row r="327" spans="1:13" x14ac:dyDescent="0.25">
      <c r="A327">
        <v>2005</v>
      </c>
      <c r="B327" t="s">
        <v>259</v>
      </c>
      <c r="C327">
        <v>27123</v>
      </c>
      <c r="D327" t="s">
        <v>275</v>
      </c>
      <c r="E327" t="s">
        <v>261</v>
      </c>
      <c r="F327" t="s">
        <v>262</v>
      </c>
      <c r="G327" t="s">
        <v>267</v>
      </c>
      <c r="H327">
        <v>21561.5357072484</v>
      </c>
      <c r="I327" t="s">
        <v>264</v>
      </c>
      <c r="J327" t="s">
        <v>265</v>
      </c>
      <c r="K327">
        <v>497560</v>
      </c>
      <c r="L327" t="s">
        <v>266</v>
      </c>
      <c r="M327">
        <v>0.04</v>
      </c>
    </row>
    <row r="328" spans="1:13" x14ac:dyDescent="0.25">
      <c r="A328">
        <v>2005</v>
      </c>
      <c r="B328" t="s">
        <v>259</v>
      </c>
      <c r="C328">
        <v>27123</v>
      </c>
      <c r="D328" t="s">
        <v>275</v>
      </c>
      <c r="E328" t="s">
        <v>261</v>
      </c>
      <c r="F328" t="s">
        <v>262</v>
      </c>
      <c r="G328" t="s">
        <v>269</v>
      </c>
      <c r="H328">
        <v>0</v>
      </c>
      <c r="I328" t="s">
        <v>264</v>
      </c>
      <c r="J328" t="s">
        <v>265</v>
      </c>
      <c r="K328">
        <v>497560</v>
      </c>
      <c r="L328" t="s">
        <v>266</v>
      </c>
      <c r="M328">
        <v>0</v>
      </c>
    </row>
    <row r="329" spans="1:13" x14ac:dyDescent="0.25">
      <c r="A329">
        <v>2005</v>
      </c>
      <c r="B329" t="s">
        <v>259</v>
      </c>
      <c r="C329">
        <v>27123</v>
      </c>
      <c r="D329" t="s">
        <v>275</v>
      </c>
      <c r="E329" t="s">
        <v>261</v>
      </c>
      <c r="F329" t="s">
        <v>268</v>
      </c>
      <c r="G329" t="s">
        <v>263</v>
      </c>
      <c r="H329">
        <v>2008.5946003793199</v>
      </c>
      <c r="I329" t="s">
        <v>264</v>
      </c>
      <c r="J329" t="s">
        <v>265</v>
      </c>
      <c r="K329">
        <v>497560</v>
      </c>
      <c r="L329" t="s">
        <v>266</v>
      </c>
      <c r="M329">
        <v>0</v>
      </c>
    </row>
    <row r="330" spans="1:13" x14ac:dyDescent="0.25">
      <c r="A330">
        <v>2005</v>
      </c>
      <c r="B330" t="s">
        <v>259</v>
      </c>
      <c r="C330">
        <v>27123</v>
      </c>
      <c r="D330" t="s">
        <v>275</v>
      </c>
      <c r="E330" t="s">
        <v>261</v>
      </c>
      <c r="F330" t="s">
        <v>268</v>
      </c>
      <c r="G330" t="s">
        <v>267</v>
      </c>
      <c r="H330">
        <v>18870.470357921298</v>
      </c>
      <c r="I330" t="s">
        <v>264</v>
      </c>
      <c r="J330" t="s">
        <v>265</v>
      </c>
      <c r="K330">
        <v>497560</v>
      </c>
      <c r="L330" t="s">
        <v>266</v>
      </c>
      <c r="M330">
        <v>0.04</v>
      </c>
    </row>
    <row r="331" spans="1:13" x14ac:dyDescent="0.25">
      <c r="A331">
        <v>2005</v>
      </c>
      <c r="B331" t="s">
        <v>259</v>
      </c>
      <c r="C331">
        <v>27123</v>
      </c>
      <c r="D331" t="s">
        <v>275</v>
      </c>
      <c r="E331" t="s">
        <v>261</v>
      </c>
      <c r="F331" t="s">
        <v>268</v>
      </c>
      <c r="G331" t="s">
        <v>269</v>
      </c>
      <c r="H331">
        <v>123.95391682248</v>
      </c>
      <c r="I331" t="s">
        <v>264</v>
      </c>
      <c r="J331" t="s">
        <v>265</v>
      </c>
      <c r="K331">
        <v>497560</v>
      </c>
      <c r="L331" t="s">
        <v>266</v>
      </c>
      <c r="M331">
        <v>0</v>
      </c>
    </row>
    <row r="332" spans="1:13" x14ac:dyDescent="0.25">
      <c r="A332">
        <v>2005</v>
      </c>
      <c r="B332" t="s">
        <v>259</v>
      </c>
      <c r="C332">
        <v>27123</v>
      </c>
      <c r="D332" t="s">
        <v>275</v>
      </c>
      <c r="E332" t="s">
        <v>261</v>
      </c>
      <c r="F332" t="s">
        <v>270</v>
      </c>
      <c r="G332" t="s">
        <v>263</v>
      </c>
      <c r="H332">
        <v>138504.29308099</v>
      </c>
      <c r="I332" t="s">
        <v>264</v>
      </c>
      <c r="J332" t="s">
        <v>265</v>
      </c>
      <c r="K332">
        <v>497560</v>
      </c>
      <c r="L332" t="s">
        <v>266</v>
      </c>
      <c r="M332">
        <v>0.28000000000000003</v>
      </c>
    </row>
    <row r="333" spans="1:13" x14ac:dyDescent="0.25">
      <c r="A333">
        <v>2005</v>
      </c>
      <c r="B333" t="s">
        <v>259</v>
      </c>
      <c r="C333">
        <v>27123</v>
      </c>
      <c r="D333" t="s">
        <v>275</v>
      </c>
      <c r="E333" t="s">
        <v>261</v>
      </c>
      <c r="F333" t="s">
        <v>270</v>
      </c>
      <c r="G333" t="s">
        <v>267</v>
      </c>
      <c r="H333">
        <v>416852.33751313598</v>
      </c>
      <c r="I333" t="s">
        <v>264</v>
      </c>
      <c r="J333" t="s">
        <v>265</v>
      </c>
      <c r="K333">
        <v>497560</v>
      </c>
      <c r="L333" t="s">
        <v>266</v>
      </c>
      <c r="M333">
        <v>0.84</v>
      </c>
    </row>
    <row r="334" spans="1:13" x14ac:dyDescent="0.25">
      <c r="A334">
        <v>2005</v>
      </c>
      <c r="B334" t="s">
        <v>259</v>
      </c>
      <c r="C334">
        <v>27123</v>
      </c>
      <c r="D334" t="s">
        <v>275</v>
      </c>
      <c r="E334" t="s">
        <v>261</v>
      </c>
      <c r="F334" t="s">
        <v>270</v>
      </c>
      <c r="G334" t="s">
        <v>269</v>
      </c>
      <c r="H334">
        <v>5.3875314250289499</v>
      </c>
      <c r="I334" t="s">
        <v>264</v>
      </c>
      <c r="J334" t="s">
        <v>265</v>
      </c>
      <c r="K334">
        <v>497560</v>
      </c>
      <c r="L334" t="s">
        <v>266</v>
      </c>
      <c r="M334">
        <v>0</v>
      </c>
    </row>
    <row r="335" spans="1:13" x14ac:dyDescent="0.25">
      <c r="A335">
        <v>2005</v>
      </c>
      <c r="B335" t="s">
        <v>259</v>
      </c>
      <c r="C335">
        <v>27139</v>
      </c>
      <c r="D335" t="s">
        <v>276</v>
      </c>
      <c r="E335" t="s">
        <v>261</v>
      </c>
      <c r="F335" t="s">
        <v>262</v>
      </c>
      <c r="G335" t="s">
        <v>263</v>
      </c>
      <c r="H335">
        <v>470572.07377059001</v>
      </c>
      <c r="I335" t="s">
        <v>264</v>
      </c>
      <c r="J335" t="s">
        <v>265</v>
      </c>
      <c r="K335">
        <v>117111</v>
      </c>
      <c r="L335" t="s">
        <v>266</v>
      </c>
      <c r="M335">
        <v>4.0199999999999996</v>
      </c>
    </row>
    <row r="336" spans="1:13" x14ac:dyDescent="0.25">
      <c r="A336">
        <v>2005</v>
      </c>
      <c r="B336" t="s">
        <v>259</v>
      </c>
      <c r="C336">
        <v>27139</v>
      </c>
      <c r="D336" t="s">
        <v>276</v>
      </c>
      <c r="E336" t="s">
        <v>261</v>
      </c>
      <c r="F336" t="s">
        <v>262</v>
      </c>
      <c r="G336" t="s">
        <v>267</v>
      </c>
      <c r="H336">
        <v>21287.4461569501</v>
      </c>
      <c r="I336" t="s">
        <v>264</v>
      </c>
      <c r="J336" t="s">
        <v>265</v>
      </c>
      <c r="K336">
        <v>117111</v>
      </c>
      <c r="L336" t="s">
        <v>266</v>
      </c>
      <c r="M336">
        <v>0.18</v>
      </c>
    </row>
    <row r="337" spans="1:13" x14ac:dyDescent="0.25">
      <c r="A337">
        <v>2005</v>
      </c>
      <c r="B337" t="s">
        <v>259</v>
      </c>
      <c r="C337">
        <v>27139</v>
      </c>
      <c r="D337" t="s">
        <v>276</v>
      </c>
      <c r="E337" t="s">
        <v>261</v>
      </c>
      <c r="F337" t="s">
        <v>268</v>
      </c>
      <c r="G337" t="s">
        <v>263</v>
      </c>
      <c r="H337">
        <v>266.858315575061</v>
      </c>
      <c r="I337" t="s">
        <v>264</v>
      </c>
      <c r="J337" t="s">
        <v>265</v>
      </c>
      <c r="K337">
        <v>117111</v>
      </c>
      <c r="L337" t="s">
        <v>266</v>
      </c>
      <c r="M337">
        <v>0</v>
      </c>
    </row>
    <row r="338" spans="1:13" x14ac:dyDescent="0.25">
      <c r="A338">
        <v>2005</v>
      </c>
      <c r="B338" t="s">
        <v>259</v>
      </c>
      <c r="C338">
        <v>27139</v>
      </c>
      <c r="D338" t="s">
        <v>276</v>
      </c>
      <c r="E338" t="s">
        <v>261</v>
      </c>
      <c r="F338" t="s">
        <v>268</v>
      </c>
      <c r="G338" t="s">
        <v>267</v>
      </c>
      <c r="H338">
        <v>6033.7634705231003</v>
      </c>
      <c r="I338" t="s">
        <v>264</v>
      </c>
      <c r="J338" t="s">
        <v>265</v>
      </c>
      <c r="K338">
        <v>117111</v>
      </c>
      <c r="L338" t="s">
        <v>266</v>
      </c>
      <c r="M338">
        <v>0.05</v>
      </c>
    </row>
    <row r="339" spans="1:13" x14ac:dyDescent="0.25">
      <c r="A339">
        <v>2005</v>
      </c>
      <c r="B339" t="s">
        <v>259</v>
      </c>
      <c r="C339">
        <v>27139</v>
      </c>
      <c r="D339" t="s">
        <v>276</v>
      </c>
      <c r="E339" t="s">
        <v>261</v>
      </c>
      <c r="F339" t="s">
        <v>268</v>
      </c>
      <c r="G339" t="s">
        <v>269</v>
      </c>
      <c r="H339">
        <v>96.920577829241196</v>
      </c>
      <c r="I339" t="s">
        <v>264</v>
      </c>
      <c r="J339" t="s">
        <v>265</v>
      </c>
      <c r="K339">
        <v>117111</v>
      </c>
      <c r="L339" t="s">
        <v>266</v>
      </c>
      <c r="M339">
        <v>0</v>
      </c>
    </row>
    <row r="340" spans="1:13" x14ac:dyDescent="0.25">
      <c r="A340">
        <v>2005</v>
      </c>
      <c r="B340" t="s">
        <v>259</v>
      </c>
      <c r="C340">
        <v>27139</v>
      </c>
      <c r="D340" t="s">
        <v>276</v>
      </c>
      <c r="E340" t="s">
        <v>261</v>
      </c>
      <c r="F340" t="s">
        <v>270</v>
      </c>
      <c r="G340" t="s">
        <v>263</v>
      </c>
      <c r="H340">
        <v>29210.433990064401</v>
      </c>
      <c r="I340" t="s">
        <v>264</v>
      </c>
      <c r="J340" t="s">
        <v>265</v>
      </c>
      <c r="K340">
        <v>117111</v>
      </c>
      <c r="L340" t="s">
        <v>266</v>
      </c>
      <c r="M340">
        <v>0.25</v>
      </c>
    </row>
    <row r="341" spans="1:13" x14ac:dyDescent="0.25">
      <c r="A341">
        <v>2005</v>
      </c>
      <c r="B341" t="s">
        <v>259</v>
      </c>
      <c r="C341">
        <v>27139</v>
      </c>
      <c r="D341" t="s">
        <v>276</v>
      </c>
      <c r="E341" t="s">
        <v>261</v>
      </c>
      <c r="F341" t="s">
        <v>270</v>
      </c>
      <c r="G341" t="s">
        <v>267</v>
      </c>
      <c r="H341">
        <v>127729.430484868</v>
      </c>
      <c r="I341" t="s">
        <v>264</v>
      </c>
      <c r="J341" t="s">
        <v>265</v>
      </c>
      <c r="K341">
        <v>117111</v>
      </c>
      <c r="L341" t="s">
        <v>266</v>
      </c>
      <c r="M341">
        <v>1.0900000000000001</v>
      </c>
    </row>
    <row r="342" spans="1:13" x14ac:dyDescent="0.25">
      <c r="A342">
        <v>2005</v>
      </c>
      <c r="B342" t="s">
        <v>259</v>
      </c>
      <c r="C342">
        <v>27139</v>
      </c>
      <c r="D342" t="s">
        <v>276</v>
      </c>
      <c r="E342" t="s">
        <v>261</v>
      </c>
      <c r="F342" t="s">
        <v>270</v>
      </c>
      <c r="G342" t="s">
        <v>269</v>
      </c>
      <c r="H342">
        <v>0.74365060263473004</v>
      </c>
      <c r="I342" t="s">
        <v>264</v>
      </c>
      <c r="J342" t="s">
        <v>265</v>
      </c>
      <c r="K342">
        <v>117111</v>
      </c>
      <c r="L342" t="s">
        <v>266</v>
      </c>
      <c r="M342">
        <v>0</v>
      </c>
    </row>
    <row r="343" spans="1:13" x14ac:dyDescent="0.25">
      <c r="A343">
        <v>2005</v>
      </c>
      <c r="B343" t="s">
        <v>259</v>
      </c>
      <c r="C343">
        <v>27141</v>
      </c>
      <c r="D343" t="s">
        <v>277</v>
      </c>
      <c r="E343" t="s">
        <v>261</v>
      </c>
      <c r="F343" t="s">
        <v>262</v>
      </c>
      <c r="G343" t="s">
        <v>263</v>
      </c>
      <c r="H343">
        <v>320424.79817883897</v>
      </c>
      <c r="I343" t="s">
        <v>264</v>
      </c>
      <c r="J343" t="s">
        <v>265</v>
      </c>
      <c r="K343">
        <v>81179</v>
      </c>
      <c r="L343" t="s">
        <v>266</v>
      </c>
      <c r="M343">
        <v>3.95</v>
      </c>
    </row>
    <row r="344" spans="1:13" x14ac:dyDescent="0.25">
      <c r="A344">
        <v>2005</v>
      </c>
      <c r="B344" t="s">
        <v>259</v>
      </c>
      <c r="C344">
        <v>27141</v>
      </c>
      <c r="D344" t="s">
        <v>277</v>
      </c>
      <c r="E344" t="s">
        <v>261</v>
      </c>
      <c r="F344" t="s">
        <v>262</v>
      </c>
      <c r="G344" t="s">
        <v>267</v>
      </c>
      <c r="H344">
        <v>17715.321608760602</v>
      </c>
      <c r="I344" t="s">
        <v>264</v>
      </c>
      <c r="J344" t="s">
        <v>265</v>
      </c>
      <c r="K344">
        <v>81179</v>
      </c>
      <c r="L344" t="s">
        <v>266</v>
      </c>
      <c r="M344">
        <v>0.22</v>
      </c>
    </row>
    <row r="345" spans="1:13" x14ac:dyDescent="0.25">
      <c r="A345">
        <v>2005</v>
      </c>
      <c r="B345" t="s">
        <v>259</v>
      </c>
      <c r="C345">
        <v>27141</v>
      </c>
      <c r="D345" t="s">
        <v>277</v>
      </c>
      <c r="E345" t="s">
        <v>261</v>
      </c>
      <c r="F345" t="s">
        <v>262</v>
      </c>
      <c r="G345" t="s">
        <v>269</v>
      </c>
      <c r="H345">
        <v>0</v>
      </c>
      <c r="I345" t="s">
        <v>264</v>
      </c>
      <c r="J345" t="s">
        <v>265</v>
      </c>
      <c r="K345">
        <v>81179</v>
      </c>
      <c r="L345" t="s">
        <v>266</v>
      </c>
      <c r="M345">
        <v>0</v>
      </c>
    </row>
    <row r="346" spans="1:13" x14ac:dyDescent="0.25">
      <c r="A346">
        <v>2005</v>
      </c>
      <c r="B346" t="s">
        <v>259</v>
      </c>
      <c r="C346">
        <v>27141</v>
      </c>
      <c r="D346" t="s">
        <v>277</v>
      </c>
      <c r="E346" t="s">
        <v>261</v>
      </c>
      <c r="F346" t="s">
        <v>268</v>
      </c>
      <c r="G346" t="s">
        <v>263</v>
      </c>
      <c r="H346">
        <v>334.503137237619</v>
      </c>
      <c r="I346" t="s">
        <v>264</v>
      </c>
      <c r="J346" t="s">
        <v>265</v>
      </c>
      <c r="K346">
        <v>81179</v>
      </c>
      <c r="L346" t="s">
        <v>266</v>
      </c>
      <c r="M346">
        <v>0</v>
      </c>
    </row>
    <row r="347" spans="1:13" x14ac:dyDescent="0.25">
      <c r="A347">
        <v>2005</v>
      </c>
      <c r="B347" t="s">
        <v>259</v>
      </c>
      <c r="C347">
        <v>27141</v>
      </c>
      <c r="D347" t="s">
        <v>277</v>
      </c>
      <c r="E347" t="s">
        <v>261</v>
      </c>
      <c r="F347" t="s">
        <v>268</v>
      </c>
      <c r="G347" t="s">
        <v>267</v>
      </c>
      <c r="H347">
        <v>3756.4621232341101</v>
      </c>
      <c r="I347" t="s">
        <v>264</v>
      </c>
      <c r="J347" t="s">
        <v>265</v>
      </c>
      <c r="K347">
        <v>81179</v>
      </c>
      <c r="L347" t="s">
        <v>266</v>
      </c>
      <c r="M347">
        <v>0.05</v>
      </c>
    </row>
    <row r="348" spans="1:13" x14ac:dyDescent="0.25">
      <c r="A348">
        <v>2005</v>
      </c>
      <c r="B348" t="s">
        <v>259</v>
      </c>
      <c r="C348">
        <v>27141</v>
      </c>
      <c r="D348" t="s">
        <v>277</v>
      </c>
      <c r="E348" t="s">
        <v>261</v>
      </c>
      <c r="F348" t="s">
        <v>268</v>
      </c>
      <c r="G348" t="s">
        <v>269</v>
      </c>
      <c r="H348">
        <v>63.827644442728698</v>
      </c>
      <c r="I348" t="s">
        <v>264</v>
      </c>
      <c r="J348" t="s">
        <v>265</v>
      </c>
      <c r="K348">
        <v>81179</v>
      </c>
      <c r="L348" t="s">
        <v>266</v>
      </c>
      <c r="M348">
        <v>0</v>
      </c>
    </row>
    <row r="349" spans="1:13" x14ac:dyDescent="0.25">
      <c r="A349">
        <v>2005</v>
      </c>
      <c r="B349" t="s">
        <v>259</v>
      </c>
      <c r="C349">
        <v>27141</v>
      </c>
      <c r="D349" t="s">
        <v>277</v>
      </c>
      <c r="E349" t="s">
        <v>261</v>
      </c>
      <c r="F349" t="s">
        <v>270</v>
      </c>
      <c r="G349" t="s">
        <v>263</v>
      </c>
      <c r="H349">
        <v>19237.860952542</v>
      </c>
      <c r="I349" t="s">
        <v>264</v>
      </c>
      <c r="J349" t="s">
        <v>265</v>
      </c>
      <c r="K349">
        <v>81179</v>
      </c>
      <c r="L349" t="s">
        <v>266</v>
      </c>
      <c r="M349">
        <v>0.24</v>
      </c>
    </row>
    <row r="350" spans="1:13" x14ac:dyDescent="0.25">
      <c r="A350">
        <v>2005</v>
      </c>
      <c r="B350" t="s">
        <v>259</v>
      </c>
      <c r="C350">
        <v>27141</v>
      </c>
      <c r="D350" t="s">
        <v>277</v>
      </c>
      <c r="E350" t="s">
        <v>261</v>
      </c>
      <c r="F350" t="s">
        <v>270</v>
      </c>
      <c r="G350" t="s">
        <v>267</v>
      </c>
      <c r="H350">
        <v>86528.706094119596</v>
      </c>
      <c r="I350" t="s">
        <v>264</v>
      </c>
      <c r="J350" t="s">
        <v>265</v>
      </c>
      <c r="K350">
        <v>81179</v>
      </c>
      <c r="L350" t="s">
        <v>266</v>
      </c>
      <c r="M350">
        <v>1.07</v>
      </c>
    </row>
    <row r="351" spans="1:13" x14ac:dyDescent="0.25">
      <c r="A351">
        <v>2005</v>
      </c>
      <c r="B351" t="s">
        <v>259</v>
      </c>
      <c r="C351">
        <v>27141</v>
      </c>
      <c r="D351" t="s">
        <v>277</v>
      </c>
      <c r="E351" t="s">
        <v>261</v>
      </c>
      <c r="F351" t="s">
        <v>270</v>
      </c>
      <c r="G351" t="s">
        <v>269</v>
      </c>
      <c r="H351">
        <v>0.50004147881578698</v>
      </c>
      <c r="I351" t="s">
        <v>264</v>
      </c>
      <c r="J351" t="s">
        <v>265</v>
      </c>
      <c r="K351">
        <v>81179</v>
      </c>
      <c r="L351" t="s">
        <v>266</v>
      </c>
      <c r="M351">
        <v>0</v>
      </c>
    </row>
    <row r="352" spans="1:13" x14ac:dyDescent="0.25">
      <c r="A352">
        <v>2005</v>
      </c>
      <c r="B352" t="s">
        <v>259</v>
      </c>
      <c r="C352">
        <v>27163</v>
      </c>
      <c r="D352" t="s">
        <v>278</v>
      </c>
      <c r="E352" t="s">
        <v>261</v>
      </c>
      <c r="F352" t="s">
        <v>262</v>
      </c>
      <c r="G352" t="s">
        <v>263</v>
      </c>
      <c r="H352">
        <v>812116.634682843</v>
      </c>
      <c r="I352" t="s">
        <v>264</v>
      </c>
      <c r="J352" t="s">
        <v>265</v>
      </c>
      <c r="K352">
        <v>219972</v>
      </c>
      <c r="L352" t="s">
        <v>266</v>
      </c>
      <c r="M352">
        <v>3.69</v>
      </c>
    </row>
    <row r="353" spans="1:13" x14ac:dyDescent="0.25">
      <c r="A353">
        <v>2005</v>
      </c>
      <c r="B353" t="s">
        <v>259</v>
      </c>
      <c r="C353">
        <v>27163</v>
      </c>
      <c r="D353" t="s">
        <v>278</v>
      </c>
      <c r="E353" t="s">
        <v>261</v>
      </c>
      <c r="F353" t="s">
        <v>262</v>
      </c>
      <c r="G353" t="s">
        <v>267</v>
      </c>
      <c r="H353">
        <v>28364.513978433399</v>
      </c>
      <c r="I353" t="s">
        <v>264</v>
      </c>
      <c r="J353" t="s">
        <v>265</v>
      </c>
      <c r="K353">
        <v>219972</v>
      </c>
      <c r="L353" t="s">
        <v>266</v>
      </c>
      <c r="M353">
        <v>0.13</v>
      </c>
    </row>
    <row r="354" spans="1:13" x14ac:dyDescent="0.25">
      <c r="A354">
        <v>2005</v>
      </c>
      <c r="B354" t="s">
        <v>259</v>
      </c>
      <c r="C354">
        <v>27163</v>
      </c>
      <c r="D354" t="s">
        <v>278</v>
      </c>
      <c r="E354" t="s">
        <v>261</v>
      </c>
      <c r="F354" t="s">
        <v>262</v>
      </c>
      <c r="G354" t="s">
        <v>269</v>
      </c>
      <c r="H354">
        <v>0</v>
      </c>
      <c r="I354" t="s">
        <v>264</v>
      </c>
      <c r="J354" t="s">
        <v>265</v>
      </c>
      <c r="K354">
        <v>219972</v>
      </c>
      <c r="L354" t="s">
        <v>266</v>
      </c>
      <c r="M354">
        <v>0</v>
      </c>
    </row>
    <row r="355" spans="1:13" x14ac:dyDescent="0.25">
      <c r="A355">
        <v>2005</v>
      </c>
      <c r="B355" t="s">
        <v>259</v>
      </c>
      <c r="C355">
        <v>27163</v>
      </c>
      <c r="D355" t="s">
        <v>278</v>
      </c>
      <c r="E355" t="s">
        <v>261</v>
      </c>
      <c r="F355" t="s">
        <v>268</v>
      </c>
      <c r="G355" t="s">
        <v>263</v>
      </c>
      <c r="H355">
        <v>672.33682027517295</v>
      </c>
      <c r="I355" t="s">
        <v>264</v>
      </c>
      <c r="J355" t="s">
        <v>265</v>
      </c>
      <c r="K355">
        <v>219972</v>
      </c>
      <c r="L355" t="s">
        <v>266</v>
      </c>
      <c r="M355">
        <v>0</v>
      </c>
    </row>
    <row r="356" spans="1:13" x14ac:dyDescent="0.25">
      <c r="A356">
        <v>2005</v>
      </c>
      <c r="B356" t="s">
        <v>259</v>
      </c>
      <c r="C356">
        <v>27163</v>
      </c>
      <c r="D356" t="s">
        <v>278</v>
      </c>
      <c r="E356" t="s">
        <v>261</v>
      </c>
      <c r="F356" t="s">
        <v>268</v>
      </c>
      <c r="G356" t="s">
        <v>267</v>
      </c>
      <c r="H356">
        <v>10095.2571101426</v>
      </c>
      <c r="I356" t="s">
        <v>264</v>
      </c>
      <c r="J356" t="s">
        <v>265</v>
      </c>
      <c r="K356">
        <v>219972</v>
      </c>
      <c r="L356" t="s">
        <v>266</v>
      </c>
      <c r="M356">
        <v>0.05</v>
      </c>
    </row>
    <row r="357" spans="1:13" x14ac:dyDescent="0.25">
      <c r="A357">
        <v>2005</v>
      </c>
      <c r="B357" t="s">
        <v>259</v>
      </c>
      <c r="C357">
        <v>27163</v>
      </c>
      <c r="D357" t="s">
        <v>278</v>
      </c>
      <c r="E357" t="s">
        <v>261</v>
      </c>
      <c r="F357" t="s">
        <v>268</v>
      </c>
      <c r="G357" t="s">
        <v>269</v>
      </c>
      <c r="H357">
        <v>191.662970730881</v>
      </c>
      <c r="I357" t="s">
        <v>264</v>
      </c>
      <c r="J357" t="s">
        <v>265</v>
      </c>
      <c r="K357">
        <v>219972</v>
      </c>
      <c r="L357" t="s">
        <v>266</v>
      </c>
      <c r="M357">
        <v>0</v>
      </c>
    </row>
    <row r="358" spans="1:13" x14ac:dyDescent="0.25">
      <c r="A358">
        <v>2005</v>
      </c>
      <c r="B358" t="s">
        <v>259</v>
      </c>
      <c r="C358">
        <v>27163</v>
      </c>
      <c r="D358" t="s">
        <v>278</v>
      </c>
      <c r="E358" t="s">
        <v>261</v>
      </c>
      <c r="F358" t="s">
        <v>270</v>
      </c>
      <c r="G358" t="s">
        <v>263</v>
      </c>
      <c r="H358">
        <v>40348.575861107798</v>
      </c>
      <c r="I358" t="s">
        <v>264</v>
      </c>
      <c r="J358" t="s">
        <v>265</v>
      </c>
      <c r="K358">
        <v>219972</v>
      </c>
      <c r="L358" t="s">
        <v>266</v>
      </c>
      <c r="M358">
        <v>0.18</v>
      </c>
    </row>
    <row r="359" spans="1:13" x14ac:dyDescent="0.25">
      <c r="A359">
        <v>2005</v>
      </c>
      <c r="B359" t="s">
        <v>259</v>
      </c>
      <c r="C359">
        <v>27163</v>
      </c>
      <c r="D359" t="s">
        <v>278</v>
      </c>
      <c r="E359" t="s">
        <v>261</v>
      </c>
      <c r="F359" t="s">
        <v>270</v>
      </c>
      <c r="G359" t="s">
        <v>267</v>
      </c>
      <c r="H359">
        <v>222944.30453972501</v>
      </c>
      <c r="I359" t="s">
        <v>264</v>
      </c>
      <c r="J359" t="s">
        <v>265</v>
      </c>
      <c r="K359">
        <v>219972</v>
      </c>
      <c r="L359" t="s">
        <v>266</v>
      </c>
      <c r="M359">
        <v>1.01</v>
      </c>
    </row>
    <row r="360" spans="1:13" x14ac:dyDescent="0.25">
      <c r="A360">
        <v>2005</v>
      </c>
      <c r="B360" t="s">
        <v>259</v>
      </c>
      <c r="C360">
        <v>27163</v>
      </c>
      <c r="D360" t="s">
        <v>278</v>
      </c>
      <c r="E360" t="s">
        <v>261</v>
      </c>
      <c r="F360" t="s">
        <v>270</v>
      </c>
      <c r="G360" t="s">
        <v>269</v>
      </c>
      <c r="H360">
        <v>1.4987528524175</v>
      </c>
      <c r="I360" t="s">
        <v>264</v>
      </c>
      <c r="J360" t="s">
        <v>265</v>
      </c>
      <c r="K360">
        <v>219972</v>
      </c>
      <c r="L360" t="s">
        <v>266</v>
      </c>
      <c r="M360">
        <v>0</v>
      </c>
    </row>
    <row r="361" spans="1:13" x14ac:dyDescent="0.25">
      <c r="A361">
        <v>2005</v>
      </c>
      <c r="B361" t="s">
        <v>259</v>
      </c>
      <c r="C361">
        <v>55093</v>
      </c>
      <c r="D361" t="s">
        <v>279</v>
      </c>
      <c r="E361" t="s">
        <v>261</v>
      </c>
      <c r="F361" t="s">
        <v>262</v>
      </c>
      <c r="G361" t="s">
        <v>263</v>
      </c>
      <c r="H361">
        <v>139285.71715141699</v>
      </c>
      <c r="I361" t="s">
        <v>264</v>
      </c>
      <c r="J361" t="s">
        <v>265</v>
      </c>
      <c r="K361">
        <v>39318</v>
      </c>
      <c r="L361" t="s">
        <v>266</v>
      </c>
      <c r="M361">
        <v>3.54</v>
      </c>
    </row>
    <row r="362" spans="1:13" x14ac:dyDescent="0.25">
      <c r="A362">
        <v>2005</v>
      </c>
      <c r="B362" t="s">
        <v>259</v>
      </c>
      <c r="C362">
        <v>55093</v>
      </c>
      <c r="D362" t="s">
        <v>279</v>
      </c>
      <c r="E362" t="s">
        <v>261</v>
      </c>
      <c r="F362" t="s">
        <v>262</v>
      </c>
      <c r="G362" t="s">
        <v>267</v>
      </c>
      <c r="H362">
        <v>8372.2418421532893</v>
      </c>
      <c r="I362" t="s">
        <v>264</v>
      </c>
      <c r="J362" t="s">
        <v>265</v>
      </c>
      <c r="K362">
        <v>39318</v>
      </c>
      <c r="L362" t="s">
        <v>266</v>
      </c>
      <c r="M362">
        <v>0.21</v>
      </c>
    </row>
    <row r="363" spans="1:13" x14ac:dyDescent="0.25">
      <c r="A363">
        <v>2005</v>
      </c>
      <c r="B363" t="s">
        <v>259</v>
      </c>
      <c r="C363">
        <v>55093</v>
      </c>
      <c r="D363" t="s">
        <v>279</v>
      </c>
      <c r="E363" t="s">
        <v>261</v>
      </c>
      <c r="F363" t="s">
        <v>262</v>
      </c>
      <c r="G363" t="s">
        <v>269</v>
      </c>
      <c r="H363">
        <v>0</v>
      </c>
      <c r="I363" t="s">
        <v>264</v>
      </c>
      <c r="J363" t="s">
        <v>265</v>
      </c>
      <c r="K363">
        <v>39318</v>
      </c>
      <c r="L363" t="s">
        <v>266</v>
      </c>
      <c r="M363">
        <v>0</v>
      </c>
    </row>
    <row r="364" spans="1:13" x14ac:dyDescent="0.25">
      <c r="A364">
        <v>2005</v>
      </c>
      <c r="B364" t="s">
        <v>259</v>
      </c>
      <c r="C364">
        <v>55093</v>
      </c>
      <c r="D364" t="s">
        <v>279</v>
      </c>
      <c r="E364" t="s">
        <v>261</v>
      </c>
      <c r="F364" t="s">
        <v>268</v>
      </c>
      <c r="G364" t="s">
        <v>263</v>
      </c>
      <c r="H364">
        <v>121.305057561051</v>
      </c>
      <c r="I364" t="s">
        <v>264</v>
      </c>
      <c r="J364" t="s">
        <v>265</v>
      </c>
      <c r="K364">
        <v>39318</v>
      </c>
      <c r="L364" t="s">
        <v>266</v>
      </c>
      <c r="M364">
        <v>0</v>
      </c>
    </row>
    <row r="365" spans="1:13" x14ac:dyDescent="0.25">
      <c r="A365">
        <v>2005</v>
      </c>
      <c r="B365" t="s">
        <v>259</v>
      </c>
      <c r="C365">
        <v>55093</v>
      </c>
      <c r="D365" t="s">
        <v>279</v>
      </c>
      <c r="E365" t="s">
        <v>261</v>
      </c>
      <c r="F365" t="s">
        <v>268</v>
      </c>
      <c r="G365" t="s">
        <v>267</v>
      </c>
      <c r="H365">
        <v>2317.19006235908</v>
      </c>
      <c r="I365" t="s">
        <v>264</v>
      </c>
      <c r="J365" t="s">
        <v>265</v>
      </c>
      <c r="K365">
        <v>39318</v>
      </c>
      <c r="L365" t="s">
        <v>266</v>
      </c>
      <c r="M365">
        <v>0.06</v>
      </c>
    </row>
    <row r="366" spans="1:13" x14ac:dyDescent="0.25">
      <c r="A366">
        <v>2005</v>
      </c>
      <c r="B366" t="s">
        <v>259</v>
      </c>
      <c r="C366">
        <v>55093</v>
      </c>
      <c r="D366" t="s">
        <v>279</v>
      </c>
      <c r="E366" t="s">
        <v>261</v>
      </c>
      <c r="F366" t="s">
        <v>268</v>
      </c>
      <c r="G366" t="s">
        <v>269</v>
      </c>
      <c r="H366">
        <v>45.974570106000002</v>
      </c>
      <c r="I366" t="s">
        <v>264</v>
      </c>
      <c r="J366" t="s">
        <v>265</v>
      </c>
      <c r="K366">
        <v>39318</v>
      </c>
      <c r="L366" t="s">
        <v>266</v>
      </c>
      <c r="M366">
        <v>0</v>
      </c>
    </row>
    <row r="367" spans="1:13" x14ac:dyDescent="0.25">
      <c r="A367">
        <v>2005</v>
      </c>
      <c r="B367" t="s">
        <v>259</v>
      </c>
      <c r="C367">
        <v>55093</v>
      </c>
      <c r="D367" t="s">
        <v>279</v>
      </c>
      <c r="E367" t="s">
        <v>261</v>
      </c>
      <c r="F367" t="s">
        <v>270</v>
      </c>
      <c r="G367" t="s">
        <v>263</v>
      </c>
      <c r="H367">
        <v>8693.3460644369497</v>
      </c>
      <c r="I367" t="s">
        <v>264</v>
      </c>
      <c r="J367" t="s">
        <v>265</v>
      </c>
      <c r="K367">
        <v>39318</v>
      </c>
      <c r="L367" t="s">
        <v>266</v>
      </c>
      <c r="M367">
        <v>0.22</v>
      </c>
    </row>
    <row r="368" spans="1:13" x14ac:dyDescent="0.25">
      <c r="A368">
        <v>2005</v>
      </c>
      <c r="B368" t="s">
        <v>259</v>
      </c>
      <c r="C368">
        <v>55093</v>
      </c>
      <c r="D368" t="s">
        <v>279</v>
      </c>
      <c r="E368" t="s">
        <v>261</v>
      </c>
      <c r="F368" t="s">
        <v>270</v>
      </c>
      <c r="G368" t="s">
        <v>267</v>
      </c>
      <c r="H368">
        <v>21094.883948800401</v>
      </c>
      <c r="I368" t="s">
        <v>264</v>
      </c>
      <c r="J368" t="s">
        <v>265</v>
      </c>
      <c r="K368">
        <v>39318</v>
      </c>
      <c r="L368" t="s">
        <v>266</v>
      </c>
      <c r="M368">
        <v>0.54</v>
      </c>
    </row>
    <row r="369" spans="1:13" x14ac:dyDescent="0.25">
      <c r="A369">
        <v>2005</v>
      </c>
      <c r="B369" t="s">
        <v>259</v>
      </c>
      <c r="C369">
        <v>55093</v>
      </c>
      <c r="D369" t="s">
        <v>279</v>
      </c>
      <c r="E369" t="s">
        <v>261</v>
      </c>
      <c r="F369" t="s">
        <v>270</v>
      </c>
      <c r="G369" t="s">
        <v>269</v>
      </c>
      <c r="H369">
        <v>0.59735562493485805</v>
      </c>
      <c r="I369" t="s">
        <v>264</v>
      </c>
      <c r="J369" t="s">
        <v>265</v>
      </c>
      <c r="K369">
        <v>39318</v>
      </c>
      <c r="L369" t="s">
        <v>266</v>
      </c>
      <c r="M369">
        <v>0</v>
      </c>
    </row>
    <row r="370" spans="1:13" x14ac:dyDescent="0.25">
      <c r="A370">
        <v>2005</v>
      </c>
      <c r="B370" t="s">
        <v>259</v>
      </c>
      <c r="C370">
        <v>55109</v>
      </c>
      <c r="D370" t="s">
        <v>280</v>
      </c>
      <c r="E370" t="s">
        <v>261</v>
      </c>
      <c r="F370" t="s">
        <v>262</v>
      </c>
      <c r="G370" t="s">
        <v>263</v>
      </c>
      <c r="H370">
        <v>427656.47526670399</v>
      </c>
      <c r="I370" t="s">
        <v>264</v>
      </c>
      <c r="J370" t="s">
        <v>265</v>
      </c>
      <c r="K370">
        <v>77061</v>
      </c>
      <c r="L370" t="s">
        <v>266</v>
      </c>
      <c r="M370">
        <v>5.55</v>
      </c>
    </row>
    <row r="371" spans="1:13" x14ac:dyDescent="0.25">
      <c r="A371">
        <v>2005</v>
      </c>
      <c r="B371" t="s">
        <v>259</v>
      </c>
      <c r="C371">
        <v>55109</v>
      </c>
      <c r="D371" t="s">
        <v>280</v>
      </c>
      <c r="E371" t="s">
        <v>261</v>
      </c>
      <c r="F371" t="s">
        <v>262</v>
      </c>
      <c r="G371" t="s">
        <v>267</v>
      </c>
      <c r="H371">
        <v>25932.933039603799</v>
      </c>
      <c r="I371" t="s">
        <v>264</v>
      </c>
      <c r="J371" t="s">
        <v>265</v>
      </c>
      <c r="K371">
        <v>77061</v>
      </c>
      <c r="L371" t="s">
        <v>266</v>
      </c>
      <c r="M371">
        <v>0.34</v>
      </c>
    </row>
    <row r="372" spans="1:13" x14ac:dyDescent="0.25">
      <c r="A372">
        <v>2005</v>
      </c>
      <c r="B372" t="s">
        <v>259</v>
      </c>
      <c r="C372">
        <v>55109</v>
      </c>
      <c r="D372" t="s">
        <v>280</v>
      </c>
      <c r="E372" t="s">
        <v>261</v>
      </c>
      <c r="F372" t="s">
        <v>268</v>
      </c>
      <c r="G372" t="s">
        <v>263</v>
      </c>
      <c r="H372">
        <v>409.42274114633199</v>
      </c>
      <c r="I372" t="s">
        <v>264</v>
      </c>
      <c r="J372" t="s">
        <v>265</v>
      </c>
      <c r="K372">
        <v>77061</v>
      </c>
      <c r="L372" t="s">
        <v>266</v>
      </c>
      <c r="M372">
        <v>0.01</v>
      </c>
    </row>
    <row r="373" spans="1:13" x14ac:dyDescent="0.25">
      <c r="A373">
        <v>2005</v>
      </c>
      <c r="B373" t="s">
        <v>259</v>
      </c>
      <c r="C373">
        <v>55109</v>
      </c>
      <c r="D373" t="s">
        <v>280</v>
      </c>
      <c r="E373" t="s">
        <v>261</v>
      </c>
      <c r="F373" t="s">
        <v>268</v>
      </c>
      <c r="G373" t="s">
        <v>267</v>
      </c>
      <c r="H373">
        <v>6793.2621489843796</v>
      </c>
      <c r="I373" t="s">
        <v>264</v>
      </c>
      <c r="J373" t="s">
        <v>265</v>
      </c>
      <c r="K373">
        <v>77061</v>
      </c>
      <c r="L373" t="s">
        <v>266</v>
      </c>
      <c r="M373">
        <v>0.09</v>
      </c>
    </row>
    <row r="374" spans="1:13" x14ac:dyDescent="0.25">
      <c r="A374">
        <v>2005</v>
      </c>
      <c r="B374" t="s">
        <v>259</v>
      </c>
      <c r="C374">
        <v>55109</v>
      </c>
      <c r="D374" t="s">
        <v>280</v>
      </c>
      <c r="E374" t="s">
        <v>261</v>
      </c>
      <c r="F374" t="s">
        <v>268</v>
      </c>
      <c r="G374" t="s">
        <v>269</v>
      </c>
      <c r="H374">
        <v>84.250853585997902</v>
      </c>
      <c r="I374" t="s">
        <v>264</v>
      </c>
      <c r="J374" t="s">
        <v>265</v>
      </c>
      <c r="K374">
        <v>77061</v>
      </c>
      <c r="L374" t="s">
        <v>266</v>
      </c>
      <c r="M374">
        <v>0</v>
      </c>
    </row>
    <row r="375" spans="1:13" x14ac:dyDescent="0.25">
      <c r="A375">
        <v>2005</v>
      </c>
      <c r="B375" t="s">
        <v>259</v>
      </c>
      <c r="C375">
        <v>55109</v>
      </c>
      <c r="D375" t="s">
        <v>280</v>
      </c>
      <c r="E375" t="s">
        <v>261</v>
      </c>
      <c r="F375" t="s">
        <v>270</v>
      </c>
      <c r="G375" t="s">
        <v>263</v>
      </c>
      <c r="H375">
        <v>28014.307264138799</v>
      </c>
      <c r="I375" t="s">
        <v>264</v>
      </c>
      <c r="J375" t="s">
        <v>265</v>
      </c>
      <c r="K375">
        <v>77061</v>
      </c>
      <c r="L375" t="s">
        <v>266</v>
      </c>
      <c r="M375">
        <v>0.36</v>
      </c>
    </row>
    <row r="376" spans="1:13" x14ac:dyDescent="0.25">
      <c r="A376">
        <v>2005</v>
      </c>
      <c r="B376" t="s">
        <v>259</v>
      </c>
      <c r="C376">
        <v>55109</v>
      </c>
      <c r="D376" t="s">
        <v>280</v>
      </c>
      <c r="E376" t="s">
        <v>261</v>
      </c>
      <c r="F376" t="s">
        <v>270</v>
      </c>
      <c r="G376" t="s">
        <v>267</v>
      </c>
      <c r="H376">
        <v>138832.07834478701</v>
      </c>
      <c r="I376" t="s">
        <v>264</v>
      </c>
      <c r="J376" t="s">
        <v>265</v>
      </c>
      <c r="K376">
        <v>77061</v>
      </c>
      <c r="L376" t="s">
        <v>266</v>
      </c>
      <c r="M376">
        <v>1.8</v>
      </c>
    </row>
    <row r="377" spans="1:13" x14ac:dyDescent="0.25">
      <c r="A377">
        <v>2005</v>
      </c>
      <c r="B377" t="s">
        <v>259</v>
      </c>
      <c r="C377">
        <v>55109</v>
      </c>
      <c r="D377" t="s">
        <v>280</v>
      </c>
      <c r="E377" t="s">
        <v>261</v>
      </c>
      <c r="F377" t="s">
        <v>270</v>
      </c>
      <c r="G377" t="s">
        <v>269</v>
      </c>
      <c r="H377">
        <v>3.2262788653485401</v>
      </c>
      <c r="I377" t="s">
        <v>264</v>
      </c>
      <c r="J377" t="s">
        <v>265</v>
      </c>
      <c r="K377">
        <v>77061</v>
      </c>
      <c r="L377" t="s">
        <v>266</v>
      </c>
      <c r="M377">
        <v>0</v>
      </c>
    </row>
    <row r="378" spans="1:13" x14ac:dyDescent="0.25">
      <c r="A378">
        <v>2006</v>
      </c>
      <c r="B378" t="s">
        <v>259</v>
      </c>
      <c r="C378">
        <v>27003</v>
      </c>
      <c r="D378" t="s">
        <v>260</v>
      </c>
      <c r="E378" t="s">
        <v>261</v>
      </c>
      <c r="F378" t="s">
        <v>262</v>
      </c>
      <c r="G378" t="s">
        <v>263</v>
      </c>
      <c r="H378">
        <v>1068408.2443725499</v>
      </c>
      <c r="I378" t="s">
        <v>264</v>
      </c>
      <c r="J378" t="s">
        <v>265</v>
      </c>
      <c r="K378">
        <v>323590</v>
      </c>
      <c r="L378" t="s">
        <v>266</v>
      </c>
      <c r="M378">
        <v>3.3</v>
      </c>
    </row>
    <row r="379" spans="1:13" x14ac:dyDescent="0.25">
      <c r="A379">
        <v>2006</v>
      </c>
      <c r="B379" t="s">
        <v>259</v>
      </c>
      <c r="C379">
        <v>27003</v>
      </c>
      <c r="D379" t="s">
        <v>260</v>
      </c>
      <c r="E379" t="s">
        <v>261</v>
      </c>
      <c r="F379" t="s">
        <v>262</v>
      </c>
      <c r="G379" t="s">
        <v>267</v>
      </c>
      <c r="H379">
        <v>35452.472798023096</v>
      </c>
      <c r="I379" t="s">
        <v>264</v>
      </c>
      <c r="J379" t="s">
        <v>265</v>
      </c>
      <c r="K379">
        <v>323590</v>
      </c>
      <c r="L379" t="s">
        <v>266</v>
      </c>
      <c r="M379">
        <v>0.11</v>
      </c>
    </row>
    <row r="380" spans="1:13" x14ac:dyDescent="0.25">
      <c r="A380">
        <v>2006</v>
      </c>
      <c r="B380" t="s">
        <v>259</v>
      </c>
      <c r="C380">
        <v>27003</v>
      </c>
      <c r="D380" t="s">
        <v>260</v>
      </c>
      <c r="E380" t="s">
        <v>261</v>
      </c>
      <c r="F380" t="s">
        <v>268</v>
      </c>
      <c r="G380" t="s">
        <v>263</v>
      </c>
      <c r="H380">
        <v>621.66866245589199</v>
      </c>
      <c r="I380" t="s">
        <v>264</v>
      </c>
      <c r="J380" t="s">
        <v>265</v>
      </c>
      <c r="K380">
        <v>323590</v>
      </c>
      <c r="L380" t="s">
        <v>266</v>
      </c>
      <c r="M380">
        <v>0</v>
      </c>
    </row>
    <row r="381" spans="1:13" x14ac:dyDescent="0.25">
      <c r="A381">
        <v>2006</v>
      </c>
      <c r="B381" t="s">
        <v>259</v>
      </c>
      <c r="C381">
        <v>27003</v>
      </c>
      <c r="D381" t="s">
        <v>260</v>
      </c>
      <c r="E381" t="s">
        <v>261</v>
      </c>
      <c r="F381" t="s">
        <v>268</v>
      </c>
      <c r="G381" t="s">
        <v>267</v>
      </c>
      <c r="H381">
        <v>14501.400967567901</v>
      </c>
      <c r="I381" t="s">
        <v>264</v>
      </c>
      <c r="J381" t="s">
        <v>265</v>
      </c>
      <c r="K381">
        <v>323590</v>
      </c>
      <c r="L381" t="s">
        <v>266</v>
      </c>
      <c r="M381">
        <v>0.04</v>
      </c>
    </row>
    <row r="382" spans="1:13" x14ac:dyDescent="0.25">
      <c r="A382">
        <v>2006</v>
      </c>
      <c r="B382" t="s">
        <v>259</v>
      </c>
      <c r="C382">
        <v>27003</v>
      </c>
      <c r="D382" t="s">
        <v>260</v>
      </c>
      <c r="E382" t="s">
        <v>261</v>
      </c>
      <c r="F382" t="s">
        <v>268</v>
      </c>
      <c r="G382" t="s">
        <v>269</v>
      </c>
      <c r="H382">
        <v>14.937128073477099</v>
      </c>
      <c r="I382" t="s">
        <v>264</v>
      </c>
      <c r="J382" t="s">
        <v>265</v>
      </c>
      <c r="K382">
        <v>323590</v>
      </c>
      <c r="L382" t="s">
        <v>266</v>
      </c>
      <c r="M382">
        <v>0</v>
      </c>
    </row>
    <row r="383" spans="1:13" x14ac:dyDescent="0.25">
      <c r="A383">
        <v>2006</v>
      </c>
      <c r="B383" t="s">
        <v>259</v>
      </c>
      <c r="C383">
        <v>27003</v>
      </c>
      <c r="D383" t="s">
        <v>260</v>
      </c>
      <c r="E383" t="s">
        <v>261</v>
      </c>
      <c r="F383" t="s">
        <v>270</v>
      </c>
      <c r="G383" t="s">
        <v>263</v>
      </c>
      <c r="H383">
        <v>87308.198297278504</v>
      </c>
      <c r="I383" t="s">
        <v>264</v>
      </c>
      <c r="J383" t="s">
        <v>265</v>
      </c>
      <c r="K383">
        <v>323590</v>
      </c>
      <c r="L383" t="s">
        <v>266</v>
      </c>
      <c r="M383">
        <v>0.27</v>
      </c>
    </row>
    <row r="384" spans="1:13" x14ac:dyDescent="0.25">
      <c r="A384">
        <v>2006</v>
      </c>
      <c r="B384" t="s">
        <v>259</v>
      </c>
      <c r="C384">
        <v>27003</v>
      </c>
      <c r="D384" t="s">
        <v>260</v>
      </c>
      <c r="E384" t="s">
        <v>261</v>
      </c>
      <c r="F384" t="s">
        <v>270</v>
      </c>
      <c r="G384" t="s">
        <v>267</v>
      </c>
      <c r="H384">
        <v>297248.14019241801</v>
      </c>
      <c r="I384" t="s">
        <v>264</v>
      </c>
      <c r="J384" t="s">
        <v>265</v>
      </c>
      <c r="K384">
        <v>323590</v>
      </c>
      <c r="L384" t="s">
        <v>266</v>
      </c>
      <c r="M384">
        <v>0.92</v>
      </c>
    </row>
    <row r="385" spans="1:13" x14ac:dyDescent="0.25">
      <c r="A385">
        <v>2006</v>
      </c>
      <c r="B385" t="s">
        <v>259</v>
      </c>
      <c r="C385">
        <v>27003</v>
      </c>
      <c r="D385" t="s">
        <v>260</v>
      </c>
      <c r="E385" t="s">
        <v>261</v>
      </c>
      <c r="F385" t="s">
        <v>270</v>
      </c>
      <c r="G385" t="s">
        <v>269</v>
      </c>
      <c r="H385">
        <v>2.28165656190252</v>
      </c>
      <c r="I385" t="s">
        <v>264</v>
      </c>
      <c r="J385" t="s">
        <v>265</v>
      </c>
      <c r="K385">
        <v>323590</v>
      </c>
      <c r="L385" t="s">
        <v>266</v>
      </c>
      <c r="M385">
        <v>0</v>
      </c>
    </row>
    <row r="386" spans="1:13" x14ac:dyDescent="0.25">
      <c r="A386">
        <v>2006</v>
      </c>
      <c r="B386" t="s">
        <v>259</v>
      </c>
      <c r="C386">
        <v>27019</v>
      </c>
      <c r="D386" t="s">
        <v>271</v>
      </c>
      <c r="E386" t="s">
        <v>261</v>
      </c>
      <c r="F386" t="s">
        <v>262</v>
      </c>
      <c r="G386" t="s">
        <v>263</v>
      </c>
      <c r="H386">
        <v>326157.744725011</v>
      </c>
      <c r="I386" t="s">
        <v>264</v>
      </c>
      <c r="J386" t="s">
        <v>265</v>
      </c>
      <c r="K386">
        <v>85657</v>
      </c>
      <c r="L386" t="s">
        <v>266</v>
      </c>
      <c r="M386">
        <v>3.81</v>
      </c>
    </row>
    <row r="387" spans="1:13" x14ac:dyDescent="0.25">
      <c r="A387">
        <v>2006</v>
      </c>
      <c r="B387" t="s">
        <v>259</v>
      </c>
      <c r="C387">
        <v>27019</v>
      </c>
      <c r="D387" t="s">
        <v>271</v>
      </c>
      <c r="E387" t="s">
        <v>261</v>
      </c>
      <c r="F387" t="s">
        <v>262</v>
      </c>
      <c r="G387" t="s">
        <v>267</v>
      </c>
      <c r="H387">
        <v>15077.924418885001</v>
      </c>
      <c r="I387" t="s">
        <v>264</v>
      </c>
      <c r="J387" t="s">
        <v>265</v>
      </c>
      <c r="K387">
        <v>85657</v>
      </c>
      <c r="L387" t="s">
        <v>266</v>
      </c>
      <c r="M387">
        <v>0.18</v>
      </c>
    </row>
    <row r="388" spans="1:13" x14ac:dyDescent="0.25">
      <c r="A388">
        <v>2006</v>
      </c>
      <c r="B388" t="s">
        <v>259</v>
      </c>
      <c r="C388">
        <v>27019</v>
      </c>
      <c r="D388" t="s">
        <v>271</v>
      </c>
      <c r="E388" t="s">
        <v>261</v>
      </c>
      <c r="F388" t="s">
        <v>268</v>
      </c>
      <c r="G388" t="s">
        <v>263</v>
      </c>
      <c r="H388">
        <v>196.61970330709701</v>
      </c>
      <c r="I388" t="s">
        <v>264</v>
      </c>
      <c r="J388" t="s">
        <v>265</v>
      </c>
      <c r="K388">
        <v>85657</v>
      </c>
      <c r="L388" t="s">
        <v>266</v>
      </c>
      <c r="M388">
        <v>0</v>
      </c>
    </row>
    <row r="389" spans="1:13" x14ac:dyDescent="0.25">
      <c r="A389">
        <v>2006</v>
      </c>
      <c r="B389" t="s">
        <v>259</v>
      </c>
      <c r="C389">
        <v>27019</v>
      </c>
      <c r="D389" t="s">
        <v>271</v>
      </c>
      <c r="E389" t="s">
        <v>261</v>
      </c>
      <c r="F389" t="s">
        <v>268</v>
      </c>
      <c r="G389" t="s">
        <v>267</v>
      </c>
      <c r="H389">
        <v>4227.3181027166602</v>
      </c>
      <c r="I389" t="s">
        <v>264</v>
      </c>
      <c r="J389" t="s">
        <v>265</v>
      </c>
      <c r="K389">
        <v>85657</v>
      </c>
      <c r="L389" t="s">
        <v>266</v>
      </c>
      <c r="M389">
        <v>0.05</v>
      </c>
    </row>
    <row r="390" spans="1:13" x14ac:dyDescent="0.25">
      <c r="A390">
        <v>2006</v>
      </c>
      <c r="B390" t="s">
        <v>259</v>
      </c>
      <c r="C390">
        <v>27019</v>
      </c>
      <c r="D390" t="s">
        <v>271</v>
      </c>
      <c r="E390" t="s">
        <v>261</v>
      </c>
      <c r="F390" t="s">
        <v>268</v>
      </c>
      <c r="G390" t="s">
        <v>269</v>
      </c>
      <c r="H390">
        <v>145.399228495546</v>
      </c>
      <c r="I390" t="s">
        <v>264</v>
      </c>
      <c r="J390" t="s">
        <v>265</v>
      </c>
      <c r="K390">
        <v>85657</v>
      </c>
      <c r="L390" t="s">
        <v>266</v>
      </c>
      <c r="M390">
        <v>0</v>
      </c>
    </row>
    <row r="391" spans="1:13" x14ac:dyDescent="0.25">
      <c r="A391">
        <v>2006</v>
      </c>
      <c r="B391" t="s">
        <v>259</v>
      </c>
      <c r="C391">
        <v>27019</v>
      </c>
      <c r="D391" t="s">
        <v>271</v>
      </c>
      <c r="E391" t="s">
        <v>261</v>
      </c>
      <c r="F391" t="s">
        <v>270</v>
      </c>
      <c r="G391" t="s">
        <v>263</v>
      </c>
      <c r="H391">
        <v>18044.080174783801</v>
      </c>
      <c r="I391" t="s">
        <v>264</v>
      </c>
      <c r="J391" t="s">
        <v>265</v>
      </c>
      <c r="K391">
        <v>85657</v>
      </c>
      <c r="L391" t="s">
        <v>266</v>
      </c>
      <c r="M391">
        <v>0.21</v>
      </c>
    </row>
    <row r="392" spans="1:13" x14ac:dyDescent="0.25">
      <c r="A392">
        <v>2006</v>
      </c>
      <c r="B392" t="s">
        <v>259</v>
      </c>
      <c r="C392">
        <v>27019</v>
      </c>
      <c r="D392" t="s">
        <v>271</v>
      </c>
      <c r="E392" t="s">
        <v>261</v>
      </c>
      <c r="F392" t="s">
        <v>270</v>
      </c>
      <c r="G392" t="s">
        <v>267</v>
      </c>
      <c r="H392">
        <v>91929.688237092705</v>
      </c>
      <c r="I392" t="s">
        <v>264</v>
      </c>
      <c r="J392" t="s">
        <v>265</v>
      </c>
      <c r="K392">
        <v>85657</v>
      </c>
      <c r="L392" t="s">
        <v>266</v>
      </c>
      <c r="M392">
        <v>1.07</v>
      </c>
    </row>
    <row r="393" spans="1:13" x14ac:dyDescent="0.25">
      <c r="A393">
        <v>2006</v>
      </c>
      <c r="B393" t="s">
        <v>259</v>
      </c>
      <c r="C393">
        <v>27019</v>
      </c>
      <c r="D393" t="s">
        <v>271</v>
      </c>
      <c r="E393" t="s">
        <v>261</v>
      </c>
      <c r="F393" t="s">
        <v>270</v>
      </c>
      <c r="G393" t="s">
        <v>269</v>
      </c>
      <c r="H393">
        <v>1.12782013791318</v>
      </c>
      <c r="I393" t="s">
        <v>264</v>
      </c>
      <c r="J393" t="s">
        <v>265</v>
      </c>
      <c r="K393">
        <v>85657</v>
      </c>
      <c r="L393" t="s">
        <v>266</v>
      </c>
      <c r="M393">
        <v>0</v>
      </c>
    </row>
    <row r="394" spans="1:13" x14ac:dyDescent="0.25">
      <c r="A394">
        <v>2006</v>
      </c>
      <c r="B394" t="s">
        <v>259</v>
      </c>
      <c r="C394">
        <v>27025</v>
      </c>
      <c r="D394" t="s">
        <v>272</v>
      </c>
      <c r="E394" t="s">
        <v>261</v>
      </c>
      <c r="F394" t="s">
        <v>262</v>
      </c>
      <c r="G394" t="s">
        <v>263</v>
      </c>
      <c r="H394">
        <v>300531.89237512997</v>
      </c>
      <c r="I394" t="s">
        <v>264</v>
      </c>
      <c r="J394" t="s">
        <v>265</v>
      </c>
      <c r="K394">
        <v>51444</v>
      </c>
      <c r="L394" t="s">
        <v>266</v>
      </c>
      <c r="M394">
        <v>5.84</v>
      </c>
    </row>
    <row r="395" spans="1:13" x14ac:dyDescent="0.25">
      <c r="A395">
        <v>2006</v>
      </c>
      <c r="B395" t="s">
        <v>259</v>
      </c>
      <c r="C395">
        <v>27025</v>
      </c>
      <c r="D395" t="s">
        <v>272</v>
      </c>
      <c r="E395" t="s">
        <v>261</v>
      </c>
      <c r="F395" t="s">
        <v>262</v>
      </c>
      <c r="G395" t="s">
        <v>267</v>
      </c>
      <c r="H395">
        <v>19184.445079553901</v>
      </c>
      <c r="I395" t="s">
        <v>264</v>
      </c>
      <c r="J395" t="s">
        <v>265</v>
      </c>
      <c r="K395">
        <v>51444</v>
      </c>
      <c r="L395" t="s">
        <v>266</v>
      </c>
      <c r="M395">
        <v>0.37</v>
      </c>
    </row>
    <row r="396" spans="1:13" x14ac:dyDescent="0.25">
      <c r="A396">
        <v>2006</v>
      </c>
      <c r="B396" t="s">
        <v>259</v>
      </c>
      <c r="C396">
        <v>27025</v>
      </c>
      <c r="D396" t="s">
        <v>272</v>
      </c>
      <c r="E396" t="s">
        <v>261</v>
      </c>
      <c r="F396" t="s">
        <v>268</v>
      </c>
      <c r="G396" t="s">
        <v>263</v>
      </c>
      <c r="H396">
        <v>585.378222036843</v>
      </c>
      <c r="I396" t="s">
        <v>264</v>
      </c>
      <c r="J396" t="s">
        <v>265</v>
      </c>
      <c r="K396">
        <v>51444</v>
      </c>
      <c r="L396" t="s">
        <v>266</v>
      </c>
      <c r="M396">
        <v>0.01</v>
      </c>
    </row>
    <row r="397" spans="1:13" x14ac:dyDescent="0.25">
      <c r="A397">
        <v>2006</v>
      </c>
      <c r="B397" t="s">
        <v>259</v>
      </c>
      <c r="C397">
        <v>27025</v>
      </c>
      <c r="D397" t="s">
        <v>272</v>
      </c>
      <c r="E397" t="s">
        <v>261</v>
      </c>
      <c r="F397" t="s">
        <v>268</v>
      </c>
      <c r="G397" t="s">
        <v>267</v>
      </c>
      <c r="H397">
        <v>3425.70888502751</v>
      </c>
      <c r="I397" t="s">
        <v>264</v>
      </c>
      <c r="J397" t="s">
        <v>265</v>
      </c>
      <c r="K397">
        <v>51444</v>
      </c>
      <c r="L397" t="s">
        <v>266</v>
      </c>
      <c r="M397">
        <v>7.0000000000000007E-2</v>
      </c>
    </row>
    <row r="398" spans="1:13" x14ac:dyDescent="0.25">
      <c r="A398">
        <v>2006</v>
      </c>
      <c r="B398" t="s">
        <v>259</v>
      </c>
      <c r="C398">
        <v>27025</v>
      </c>
      <c r="D398" t="s">
        <v>272</v>
      </c>
      <c r="E398" t="s">
        <v>261</v>
      </c>
      <c r="F398" t="s">
        <v>268</v>
      </c>
      <c r="G398" t="s">
        <v>269</v>
      </c>
      <c r="H398">
        <v>67.819633289654206</v>
      </c>
      <c r="I398" t="s">
        <v>264</v>
      </c>
      <c r="J398" t="s">
        <v>265</v>
      </c>
      <c r="K398">
        <v>51444</v>
      </c>
      <c r="L398" t="s">
        <v>266</v>
      </c>
      <c r="M398">
        <v>0</v>
      </c>
    </row>
    <row r="399" spans="1:13" x14ac:dyDescent="0.25">
      <c r="A399">
        <v>2006</v>
      </c>
      <c r="B399" t="s">
        <v>259</v>
      </c>
      <c r="C399">
        <v>27025</v>
      </c>
      <c r="D399" t="s">
        <v>272</v>
      </c>
      <c r="E399" t="s">
        <v>261</v>
      </c>
      <c r="F399" t="s">
        <v>270</v>
      </c>
      <c r="G399" t="s">
        <v>263</v>
      </c>
      <c r="H399">
        <v>14732.472470259199</v>
      </c>
      <c r="I399" t="s">
        <v>264</v>
      </c>
      <c r="J399" t="s">
        <v>265</v>
      </c>
      <c r="K399">
        <v>51444</v>
      </c>
      <c r="L399" t="s">
        <v>266</v>
      </c>
      <c r="M399">
        <v>0.28999999999999998</v>
      </c>
    </row>
    <row r="400" spans="1:13" x14ac:dyDescent="0.25">
      <c r="A400">
        <v>2006</v>
      </c>
      <c r="B400" t="s">
        <v>259</v>
      </c>
      <c r="C400">
        <v>27025</v>
      </c>
      <c r="D400" t="s">
        <v>272</v>
      </c>
      <c r="E400" t="s">
        <v>261</v>
      </c>
      <c r="F400" t="s">
        <v>270</v>
      </c>
      <c r="G400" t="s">
        <v>267</v>
      </c>
      <c r="H400">
        <v>82545.638518392603</v>
      </c>
      <c r="I400" t="s">
        <v>264</v>
      </c>
      <c r="J400" t="s">
        <v>265</v>
      </c>
      <c r="K400">
        <v>51444</v>
      </c>
      <c r="L400" t="s">
        <v>266</v>
      </c>
      <c r="M400">
        <v>1.6</v>
      </c>
    </row>
    <row r="401" spans="1:13" x14ac:dyDescent="0.25">
      <c r="A401">
        <v>2006</v>
      </c>
      <c r="B401" t="s">
        <v>259</v>
      </c>
      <c r="C401">
        <v>27025</v>
      </c>
      <c r="D401" t="s">
        <v>272</v>
      </c>
      <c r="E401" t="s">
        <v>261</v>
      </c>
      <c r="F401" t="s">
        <v>270</v>
      </c>
      <c r="G401" t="s">
        <v>269</v>
      </c>
      <c r="H401">
        <v>0.53894238749288403</v>
      </c>
      <c r="I401" t="s">
        <v>264</v>
      </c>
      <c r="J401" t="s">
        <v>265</v>
      </c>
      <c r="K401">
        <v>51444</v>
      </c>
      <c r="L401" t="s">
        <v>266</v>
      </c>
      <c r="M401">
        <v>0</v>
      </c>
    </row>
    <row r="402" spans="1:13" x14ac:dyDescent="0.25">
      <c r="A402">
        <v>2006</v>
      </c>
      <c r="B402" t="s">
        <v>259</v>
      </c>
      <c r="C402">
        <v>27037</v>
      </c>
      <c r="D402" t="s">
        <v>273</v>
      </c>
      <c r="E402" t="s">
        <v>261</v>
      </c>
      <c r="F402" t="s">
        <v>262</v>
      </c>
      <c r="G402" t="s">
        <v>263</v>
      </c>
      <c r="H402">
        <v>1388496.1317512901</v>
      </c>
      <c r="I402" t="s">
        <v>264</v>
      </c>
      <c r="J402" t="s">
        <v>265</v>
      </c>
      <c r="K402">
        <v>386228</v>
      </c>
      <c r="L402" t="s">
        <v>266</v>
      </c>
      <c r="M402">
        <v>3.6</v>
      </c>
    </row>
    <row r="403" spans="1:13" x14ac:dyDescent="0.25">
      <c r="A403">
        <v>2006</v>
      </c>
      <c r="B403" t="s">
        <v>259</v>
      </c>
      <c r="C403">
        <v>27037</v>
      </c>
      <c r="D403" t="s">
        <v>273</v>
      </c>
      <c r="E403" t="s">
        <v>261</v>
      </c>
      <c r="F403" t="s">
        <v>262</v>
      </c>
      <c r="G403" t="s">
        <v>267</v>
      </c>
      <c r="H403">
        <v>35538.925155497403</v>
      </c>
      <c r="I403" t="s">
        <v>264</v>
      </c>
      <c r="J403" t="s">
        <v>265</v>
      </c>
      <c r="K403">
        <v>386228</v>
      </c>
      <c r="L403" t="s">
        <v>266</v>
      </c>
      <c r="M403">
        <v>0.09</v>
      </c>
    </row>
    <row r="404" spans="1:13" x14ac:dyDescent="0.25">
      <c r="A404">
        <v>2006</v>
      </c>
      <c r="B404" t="s">
        <v>259</v>
      </c>
      <c r="C404">
        <v>27037</v>
      </c>
      <c r="D404" t="s">
        <v>273</v>
      </c>
      <c r="E404" t="s">
        <v>261</v>
      </c>
      <c r="F404" t="s">
        <v>262</v>
      </c>
      <c r="G404" t="s">
        <v>269</v>
      </c>
      <c r="H404">
        <v>0</v>
      </c>
      <c r="I404" t="s">
        <v>264</v>
      </c>
      <c r="J404" t="s">
        <v>265</v>
      </c>
      <c r="K404">
        <v>386228</v>
      </c>
      <c r="L404" t="s">
        <v>266</v>
      </c>
      <c r="M404">
        <v>0</v>
      </c>
    </row>
    <row r="405" spans="1:13" x14ac:dyDescent="0.25">
      <c r="A405">
        <v>2006</v>
      </c>
      <c r="B405" t="s">
        <v>259</v>
      </c>
      <c r="C405">
        <v>27037</v>
      </c>
      <c r="D405" t="s">
        <v>273</v>
      </c>
      <c r="E405" t="s">
        <v>261</v>
      </c>
      <c r="F405" t="s">
        <v>268</v>
      </c>
      <c r="G405" t="s">
        <v>263</v>
      </c>
      <c r="H405">
        <v>589.47323608009901</v>
      </c>
      <c r="I405" t="s">
        <v>264</v>
      </c>
      <c r="J405" t="s">
        <v>265</v>
      </c>
      <c r="K405">
        <v>386228</v>
      </c>
      <c r="L405" t="s">
        <v>266</v>
      </c>
      <c r="M405">
        <v>0</v>
      </c>
    </row>
    <row r="406" spans="1:13" x14ac:dyDescent="0.25">
      <c r="A406">
        <v>2006</v>
      </c>
      <c r="B406" t="s">
        <v>259</v>
      </c>
      <c r="C406">
        <v>27037</v>
      </c>
      <c r="D406" t="s">
        <v>273</v>
      </c>
      <c r="E406" t="s">
        <v>261</v>
      </c>
      <c r="F406" t="s">
        <v>268</v>
      </c>
      <c r="G406" t="s">
        <v>267</v>
      </c>
      <c r="H406">
        <v>18909.003337288399</v>
      </c>
      <c r="I406" t="s">
        <v>264</v>
      </c>
      <c r="J406" t="s">
        <v>265</v>
      </c>
      <c r="K406">
        <v>386228</v>
      </c>
      <c r="L406" t="s">
        <v>266</v>
      </c>
      <c r="M406">
        <v>0.05</v>
      </c>
    </row>
    <row r="407" spans="1:13" x14ac:dyDescent="0.25">
      <c r="A407">
        <v>2006</v>
      </c>
      <c r="B407" t="s">
        <v>259</v>
      </c>
      <c r="C407">
        <v>27037</v>
      </c>
      <c r="D407" t="s">
        <v>273</v>
      </c>
      <c r="E407" t="s">
        <v>261</v>
      </c>
      <c r="F407" t="s">
        <v>268</v>
      </c>
      <c r="G407" t="s">
        <v>269</v>
      </c>
      <c r="H407">
        <v>29.5893644893637</v>
      </c>
      <c r="I407" t="s">
        <v>264</v>
      </c>
      <c r="J407" t="s">
        <v>265</v>
      </c>
      <c r="K407">
        <v>386228</v>
      </c>
      <c r="L407" t="s">
        <v>266</v>
      </c>
      <c r="M407">
        <v>0</v>
      </c>
    </row>
    <row r="408" spans="1:13" x14ac:dyDescent="0.25">
      <c r="A408">
        <v>2006</v>
      </c>
      <c r="B408" t="s">
        <v>259</v>
      </c>
      <c r="C408">
        <v>27037</v>
      </c>
      <c r="D408" t="s">
        <v>273</v>
      </c>
      <c r="E408" t="s">
        <v>261</v>
      </c>
      <c r="F408" t="s">
        <v>270</v>
      </c>
      <c r="G408" t="s">
        <v>263</v>
      </c>
      <c r="H408">
        <v>84845.219906713406</v>
      </c>
      <c r="I408" t="s">
        <v>264</v>
      </c>
      <c r="J408" t="s">
        <v>265</v>
      </c>
      <c r="K408">
        <v>386228</v>
      </c>
      <c r="L408" t="s">
        <v>266</v>
      </c>
      <c r="M408">
        <v>0.22</v>
      </c>
    </row>
    <row r="409" spans="1:13" x14ac:dyDescent="0.25">
      <c r="A409">
        <v>2006</v>
      </c>
      <c r="B409" t="s">
        <v>259</v>
      </c>
      <c r="C409">
        <v>27037</v>
      </c>
      <c r="D409" t="s">
        <v>273</v>
      </c>
      <c r="E409" t="s">
        <v>261</v>
      </c>
      <c r="F409" t="s">
        <v>270</v>
      </c>
      <c r="G409" t="s">
        <v>267</v>
      </c>
      <c r="H409">
        <v>404293.98923828098</v>
      </c>
      <c r="I409" t="s">
        <v>264</v>
      </c>
      <c r="J409" t="s">
        <v>265</v>
      </c>
      <c r="K409">
        <v>386228</v>
      </c>
      <c r="L409" t="s">
        <v>266</v>
      </c>
      <c r="M409">
        <v>1.05</v>
      </c>
    </row>
    <row r="410" spans="1:13" x14ac:dyDescent="0.25">
      <c r="A410">
        <v>2006</v>
      </c>
      <c r="B410" t="s">
        <v>259</v>
      </c>
      <c r="C410">
        <v>27037</v>
      </c>
      <c r="D410" t="s">
        <v>273</v>
      </c>
      <c r="E410" t="s">
        <v>261</v>
      </c>
      <c r="F410" t="s">
        <v>270</v>
      </c>
      <c r="G410" t="s">
        <v>269</v>
      </c>
      <c r="H410">
        <v>2.7071978283045102</v>
      </c>
      <c r="I410" t="s">
        <v>264</v>
      </c>
      <c r="J410" t="s">
        <v>265</v>
      </c>
      <c r="K410">
        <v>386228</v>
      </c>
      <c r="L410" t="s">
        <v>266</v>
      </c>
      <c r="M410">
        <v>0</v>
      </c>
    </row>
    <row r="411" spans="1:13" x14ac:dyDescent="0.25">
      <c r="A411">
        <v>2006</v>
      </c>
      <c r="B411" t="s">
        <v>259</v>
      </c>
      <c r="C411">
        <v>27053</v>
      </c>
      <c r="D411" t="s">
        <v>274</v>
      </c>
      <c r="E411" t="s">
        <v>261</v>
      </c>
      <c r="F411" t="s">
        <v>262</v>
      </c>
      <c r="G411" t="s">
        <v>263</v>
      </c>
      <c r="H411">
        <v>3658161.2493807599</v>
      </c>
      <c r="I411" t="s">
        <v>264</v>
      </c>
      <c r="J411" t="s">
        <v>265</v>
      </c>
      <c r="K411">
        <v>1119507</v>
      </c>
      <c r="L411" t="s">
        <v>266</v>
      </c>
      <c r="M411">
        <v>3.27</v>
      </c>
    </row>
    <row r="412" spans="1:13" x14ac:dyDescent="0.25">
      <c r="A412">
        <v>2006</v>
      </c>
      <c r="B412" t="s">
        <v>259</v>
      </c>
      <c r="C412">
        <v>27053</v>
      </c>
      <c r="D412" t="s">
        <v>274</v>
      </c>
      <c r="E412" t="s">
        <v>261</v>
      </c>
      <c r="F412" t="s">
        <v>262</v>
      </c>
      <c r="G412" t="s">
        <v>267</v>
      </c>
      <c r="H412">
        <v>62420.888483398499</v>
      </c>
      <c r="I412" t="s">
        <v>264</v>
      </c>
      <c r="J412" t="s">
        <v>265</v>
      </c>
      <c r="K412">
        <v>1119507</v>
      </c>
      <c r="L412" t="s">
        <v>266</v>
      </c>
      <c r="M412">
        <v>0.06</v>
      </c>
    </row>
    <row r="413" spans="1:13" x14ac:dyDescent="0.25">
      <c r="A413">
        <v>2006</v>
      </c>
      <c r="B413" t="s">
        <v>259</v>
      </c>
      <c r="C413">
        <v>27053</v>
      </c>
      <c r="D413" t="s">
        <v>274</v>
      </c>
      <c r="E413" t="s">
        <v>261</v>
      </c>
      <c r="F413" t="s">
        <v>262</v>
      </c>
      <c r="G413" t="s">
        <v>269</v>
      </c>
      <c r="H413">
        <v>0</v>
      </c>
      <c r="I413" t="s">
        <v>264</v>
      </c>
      <c r="J413" t="s">
        <v>265</v>
      </c>
      <c r="K413">
        <v>1119507</v>
      </c>
      <c r="L413" t="s">
        <v>266</v>
      </c>
      <c r="M413">
        <v>0</v>
      </c>
    </row>
    <row r="414" spans="1:13" x14ac:dyDescent="0.25">
      <c r="A414">
        <v>2006</v>
      </c>
      <c r="B414" t="s">
        <v>259</v>
      </c>
      <c r="C414">
        <v>27053</v>
      </c>
      <c r="D414" t="s">
        <v>274</v>
      </c>
      <c r="E414" t="s">
        <v>261</v>
      </c>
      <c r="F414" t="s">
        <v>268</v>
      </c>
      <c r="G414" t="s">
        <v>263</v>
      </c>
      <c r="H414">
        <v>3499.6381458730202</v>
      </c>
      <c r="I414" t="s">
        <v>264</v>
      </c>
      <c r="J414" t="s">
        <v>265</v>
      </c>
      <c r="K414">
        <v>1119507</v>
      </c>
      <c r="L414" t="s">
        <v>266</v>
      </c>
      <c r="M414">
        <v>0</v>
      </c>
    </row>
    <row r="415" spans="1:13" x14ac:dyDescent="0.25">
      <c r="A415">
        <v>2006</v>
      </c>
      <c r="B415" t="s">
        <v>259</v>
      </c>
      <c r="C415">
        <v>27053</v>
      </c>
      <c r="D415" t="s">
        <v>274</v>
      </c>
      <c r="E415" t="s">
        <v>261</v>
      </c>
      <c r="F415" t="s">
        <v>268</v>
      </c>
      <c r="G415" t="s">
        <v>267</v>
      </c>
      <c r="H415">
        <v>51315.568506019001</v>
      </c>
      <c r="I415" t="s">
        <v>264</v>
      </c>
      <c r="J415" t="s">
        <v>265</v>
      </c>
      <c r="K415">
        <v>1119507</v>
      </c>
      <c r="L415" t="s">
        <v>266</v>
      </c>
      <c r="M415">
        <v>0.05</v>
      </c>
    </row>
    <row r="416" spans="1:13" x14ac:dyDescent="0.25">
      <c r="A416">
        <v>2006</v>
      </c>
      <c r="B416" t="s">
        <v>259</v>
      </c>
      <c r="C416">
        <v>27053</v>
      </c>
      <c r="D416" t="s">
        <v>274</v>
      </c>
      <c r="E416" t="s">
        <v>261</v>
      </c>
      <c r="F416" t="s">
        <v>268</v>
      </c>
      <c r="G416" t="s">
        <v>269</v>
      </c>
      <c r="H416">
        <v>27.5358151546918</v>
      </c>
      <c r="I416" t="s">
        <v>264</v>
      </c>
      <c r="J416" t="s">
        <v>265</v>
      </c>
      <c r="K416">
        <v>1119507</v>
      </c>
      <c r="L416" t="s">
        <v>266</v>
      </c>
      <c r="M416">
        <v>0</v>
      </c>
    </row>
    <row r="417" spans="1:13" x14ac:dyDescent="0.25">
      <c r="A417">
        <v>2006</v>
      </c>
      <c r="B417" t="s">
        <v>259</v>
      </c>
      <c r="C417">
        <v>27053</v>
      </c>
      <c r="D417" t="s">
        <v>274</v>
      </c>
      <c r="E417" t="s">
        <v>261</v>
      </c>
      <c r="F417" t="s">
        <v>270</v>
      </c>
      <c r="G417" t="s">
        <v>263</v>
      </c>
      <c r="H417">
        <v>352337.28907368501</v>
      </c>
      <c r="I417" t="s">
        <v>264</v>
      </c>
      <c r="J417" t="s">
        <v>265</v>
      </c>
      <c r="K417">
        <v>1119507</v>
      </c>
      <c r="L417" t="s">
        <v>266</v>
      </c>
      <c r="M417">
        <v>0.31</v>
      </c>
    </row>
    <row r="418" spans="1:13" x14ac:dyDescent="0.25">
      <c r="A418">
        <v>2006</v>
      </c>
      <c r="B418" t="s">
        <v>259</v>
      </c>
      <c r="C418">
        <v>27053</v>
      </c>
      <c r="D418" t="s">
        <v>274</v>
      </c>
      <c r="E418" t="s">
        <v>261</v>
      </c>
      <c r="F418" t="s">
        <v>270</v>
      </c>
      <c r="G418" t="s">
        <v>267</v>
      </c>
      <c r="H418">
        <v>1032978.05573267</v>
      </c>
      <c r="I418" t="s">
        <v>264</v>
      </c>
      <c r="J418" t="s">
        <v>265</v>
      </c>
      <c r="K418">
        <v>1119507</v>
      </c>
      <c r="L418" t="s">
        <v>266</v>
      </c>
      <c r="M418">
        <v>0.92</v>
      </c>
    </row>
    <row r="419" spans="1:13" x14ac:dyDescent="0.25">
      <c r="A419">
        <v>2006</v>
      </c>
      <c r="B419" t="s">
        <v>259</v>
      </c>
      <c r="C419">
        <v>27053</v>
      </c>
      <c r="D419" t="s">
        <v>274</v>
      </c>
      <c r="E419" t="s">
        <v>261</v>
      </c>
      <c r="F419" t="s">
        <v>270</v>
      </c>
      <c r="G419" t="s">
        <v>269</v>
      </c>
      <c r="H419">
        <v>7.3296700651057796</v>
      </c>
      <c r="I419" t="s">
        <v>264</v>
      </c>
      <c r="J419" t="s">
        <v>265</v>
      </c>
      <c r="K419">
        <v>1119507</v>
      </c>
      <c r="L419" t="s">
        <v>266</v>
      </c>
      <c r="M419">
        <v>0</v>
      </c>
    </row>
    <row r="420" spans="1:13" x14ac:dyDescent="0.25">
      <c r="A420">
        <v>2006</v>
      </c>
      <c r="B420" t="s">
        <v>259</v>
      </c>
      <c r="C420">
        <v>27123</v>
      </c>
      <c r="D420" t="s">
        <v>275</v>
      </c>
      <c r="E420" t="s">
        <v>261</v>
      </c>
      <c r="F420" t="s">
        <v>262</v>
      </c>
      <c r="G420" t="s">
        <v>263</v>
      </c>
      <c r="H420">
        <v>1533854.75926345</v>
      </c>
      <c r="I420" t="s">
        <v>264</v>
      </c>
      <c r="J420" t="s">
        <v>265</v>
      </c>
      <c r="K420">
        <v>497158</v>
      </c>
      <c r="L420" t="s">
        <v>266</v>
      </c>
      <c r="M420">
        <v>3.09</v>
      </c>
    </row>
    <row r="421" spans="1:13" x14ac:dyDescent="0.25">
      <c r="A421">
        <v>2006</v>
      </c>
      <c r="B421" t="s">
        <v>259</v>
      </c>
      <c r="C421">
        <v>27123</v>
      </c>
      <c r="D421" t="s">
        <v>275</v>
      </c>
      <c r="E421" t="s">
        <v>261</v>
      </c>
      <c r="F421" t="s">
        <v>262</v>
      </c>
      <c r="G421" t="s">
        <v>267</v>
      </c>
      <c r="H421">
        <v>22848.144256888201</v>
      </c>
      <c r="I421" t="s">
        <v>264</v>
      </c>
      <c r="J421" t="s">
        <v>265</v>
      </c>
      <c r="K421">
        <v>497158</v>
      </c>
      <c r="L421" t="s">
        <v>266</v>
      </c>
      <c r="M421">
        <v>0.05</v>
      </c>
    </row>
    <row r="422" spans="1:13" x14ac:dyDescent="0.25">
      <c r="A422">
        <v>2006</v>
      </c>
      <c r="B422" t="s">
        <v>259</v>
      </c>
      <c r="C422">
        <v>27123</v>
      </c>
      <c r="D422" t="s">
        <v>275</v>
      </c>
      <c r="E422" t="s">
        <v>261</v>
      </c>
      <c r="F422" t="s">
        <v>262</v>
      </c>
      <c r="G422" t="s">
        <v>269</v>
      </c>
      <c r="H422">
        <v>0</v>
      </c>
      <c r="I422" t="s">
        <v>264</v>
      </c>
      <c r="J422" t="s">
        <v>265</v>
      </c>
      <c r="K422">
        <v>497158</v>
      </c>
      <c r="L422" t="s">
        <v>266</v>
      </c>
      <c r="M422">
        <v>0</v>
      </c>
    </row>
    <row r="423" spans="1:13" x14ac:dyDescent="0.25">
      <c r="A423">
        <v>2006</v>
      </c>
      <c r="B423" t="s">
        <v>259</v>
      </c>
      <c r="C423">
        <v>27123</v>
      </c>
      <c r="D423" t="s">
        <v>275</v>
      </c>
      <c r="E423" t="s">
        <v>261</v>
      </c>
      <c r="F423" t="s">
        <v>268</v>
      </c>
      <c r="G423" t="s">
        <v>263</v>
      </c>
      <c r="H423">
        <v>1948.3062576708001</v>
      </c>
      <c r="I423" t="s">
        <v>264</v>
      </c>
      <c r="J423" t="s">
        <v>265</v>
      </c>
      <c r="K423">
        <v>497158</v>
      </c>
      <c r="L423" t="s">
        <v>266</v>
      </c>
      <c r="M423">
        <v>0</v>
      </c>
    </row>
    <row r="424" spans="1:13" x14ac:dyDescent="0.25">
      <c r="A424">
        <v>2006</v>
      </c>
      <c r="B424" t="s">
        <v>259</v>
      </c>
      <c r="C424">
        <v>27123</v>
      </c>
      <c r="D424" t="s">
        <v>275</v>
      </c>
      <c r="E424" t="s">
        <v>261</v>
      </c>
      <c r="F424" t="s">
        <v>268</v>
      </c>
      <c r="G424" t="s">
        <v>267</v>
      </c>
      <c r="H424">
        <v>19968.851327980101</v>
      </c>
      <c r="I424" t="s">
        <v>264</v>
      </c>
      <c r="J424" t="s">
        <v>265</v>
      </c>
      <c r="K424">
        <v>497158</v>
      </c>
      <c r="L424" t="s">
        <v>266</v>
      </c>
      <c r="M424">
        <v>0.04</v>
      </c>
    </row>
    <row r="425" spans="1:13" x14ac:dyDescent="0.25">
      <c r="A425">
        <v>2006</v>
      </c>
      <c r="B425" t="s">
        <v>259</v>
      </c>
      <c r="C425">
        <v>27123</v>
      </c>
      <c r="D425" t="s">
        <v>275</v>
      </c>
      <c r="E425" t="s">
        <v>261</v>
      </c>
      <c r="F425" t="s">
        <v>268</v>
      </c>
      <c r="G425" t="s">
        <v>269</v>
      </c>
      <c r="H425">
        <v>124.261886037651</v>
      </c>
      <c r="I425" t="s">
        <v>264</v>
      </c>
      <c r="J425" t="s">
        <v>265</v>
      </c>
      <c r="K425">
        <v>497158</v>
      </c>
      <c r="L425" t="s">
        <v>266</v>
      </c>
      <c r="M425">
        <v>0</v>
      </c>
    </row>
    <row r="426" spans="1:13" x14ac:dyDescent="0.25">
      <c r="A426">
        <v>2006</v>
      </c>
      <c r="B426" t="s">
        <v>259</v>
      </c>
      <c r="C426">
        <v>27123</v>
      </c>
      <c r="D426" t="s">
        <v>275</v>
      </c>
      <c r="E426" t="s">
        <v>261</v>
      </c>
      <c r="F426" t="s">
        <v>270</v>
      </c>
      <c r="G426" t="s">
        <v>263</v>
      </c>
      <c r="H426">
        <v>143424.28637578001</v>
      </c>
      <c r="I426" t="s">
        <v>264</v>
      </c>
      <c r="J426" t="s">
        <v>265</v>
      </c>
      <c r="K426">
        <v>497158</v>
      </c>
      <c r="L426" t="s">
        <v>266</v>
      </c>
      <c r="M426">
        <v>0.28999999999999998</v>
      </c>
    </row>
    <row r="427" spans="1:13" x14ac:dyDescent="0.25">
      <c r="A427">
        <v>2006</v>
      </c>
      <c r="B427" t="s">
        <v>259</v>
      </c>
      <c r="C427">
        <v>27123</v>
      </c>
      <c r="D427" t="s">
        <v>275</v>
      </c>
      <c r="E427" t="s">
        <v>261</v>
      </c>
      <c r="F427" t="s">
        <v>270</v>
      </c>
      <c r="G427" t="s">
        <v>267</v>
      </c>
      <c r="H427">
        <v>435465.86279193702</v>
      </c>
      <c r="I427" t="s">
        <v>264</v>
      </c>
      <c r="J427" t="s">
        <v>265</v>
      </c>
      <c r="K427">
        <v>497158</v>
      </c>
      <c r="L427" t="s">
        <v>266</v>
      </c>
      <c r="M427">
        <v>0.88</v>
      </c>
    </row>
    <row r="428" spans="1:13" x14ac:dyDescent="0.25">
      <c r="A428">
        <v>2006</v>
      </c>
      <c r="B428" t="s">
        <v>259</v>
      </c>
      <c r="C428">
        <v>27123</v>
      </c>
      <c r="D428" t="s">
        <v>275</v>
      </c>
      <c r="E428" t="s">
        <v>261</v>
      </c>
      <c r="F428" t="s">
        <v>270</v>
      </c>
      <c r="G428" t="s">
        <v>269</v>
      </c>
      <c r="H428">
        <v>5.8856790106955801</v>
      </c>
      <c r="I428" t="s">
        <v>264</v>
      </c>
      <c r="J428" t="s">
        <v>265</v>
      </c>
      <c r="K428">
        <v>497158</v>
      </c>
      <c r="L428" t="s">
        <v>266</v>
      </c>
      <c r="M428">
        <v>0</v>
      </c>
    </row>
    <row r="429" spans="1:13" x14ac:dyDescent="0.25">
      <c r="A429">
        <v>2006</v>
      </c>
      <c r="B429" t="s">
        <v>259</v>
      </c>
      <c r="C429">
        <v>27139</v>
      </c>
      <c r="D429" t="s">
        <v>276</v>
      </c>
      <c r="E429" t="s">
        <v>261</v>
      </c>
      <c r="F429" t="s">
        <v>262</v>
      </c>
      <c r="G429" t="s">
        <v>263</v>
      </c>
      <c r="H429">
        <v>475290.28482565301</v>
      </c>
      <c r="I429" t="s">
        <v>264</v>
      </c>
      <c r="J429" t="s">
        <v>265</v>
      </c>
      <c r="K429">
        <v>121013</v>
      </c>
      <c r="L429" t="s">
        <v>266</v>
      </c>
      <c r="M429">
        <v>3.93</v>
      </c>
    </row>
    <row r="430" spans="1:13" x14ac:dyDescent="0.25">
      <c r="A430">
        <v>2006</v>
      </c>
      <c r="B430" t="s">
        <v>259</v>
      </c>
      <c r="C430">
        <v>27139</v>
      </c>
      <c r="D430" t="s">
        <v>276</v>
      </c>
      <c r="E430" t="s">
        <v>261</v>
      </c>
      <c r="F430" t="s">
        <v>262</v>
      </c>
      <c r="G430" t="s">
        <v>267</v>
      </c>
      <c r="H430">
        <v>22621.862962731098</v>
      </c>
      <c r="I430" t="s">
        <v>264</v>
      </c>
      <c r="J430" t="s">
        <v>265</v>
      </c>
      <c r="K430">
        <v>121013</v>
      </c>
      <c r="L430" t="s">
        <v>266</v>
      </c>
      <c r="M430">
        <v>0.19</v>
      </c>
    </row>
    <row r="431" spans="1:13" x14ac:dyDescent="0.25">
      <c r="A431">
        <v>2006</v>
      </c>
      <c r="B431" t="s">
        <v>259</v>
      </c>
      <c r="C431">
        <v>27139</v>
      </c>
      <c r="D431" t="s">
        <v>276</v>
      </c>
      <c r="E431" t="s">
        <v>261</v>
      </c>
      <c r="F431" t="s">
        <v>268</v>
      </c>
      <c r="G431" t="s">
        <v>263</v>
      </c>
      <c r="H431">
        <v>249.87238024661201</v>
      </c>
      <c r="I431" t="s">
        <v>264</v>
      </c>
      <c r="J431" t="s">
        <v>265</v>
      </c>
      <c r="K431">
        <v>121013</v>
      </c>
      <c r="L431" t="s">
        <v>266</v>
      </c>
      <c r="M431">
        <v>0</v>
      </c>
    </row>
    <row r="432" spans="1:13" x14ac:dyDescent="0.25">
      <c r="A432">
        <v>2006</v>
      </c>
      <c r="B432" t="s">
        <v>259</v>
      </c>
      <c r="C432">
        <v>27139</v>
      </c>
      <c r="D432" t="s">
        <v>276</v>
      </c>
      <c r="E432" t="s">
        <v>261</v>
      </c>
      <c r="F432" t="s">
        <v>268</v>
      </c>
      <c r="G432" t="s">
        <v>267</v>
      </c>
      <c r="H432">
        <v>6384.9857297552298</v>
      </c>
      <c r="I432" t="s">
        <v>264</v>
      </c>
      <c r="J432" t="s">
        <v>265</v>
      </c>
      <c r="K432">
        <v>121013</v>
      </c>
      <c r="L432" t="s">
        <v>266</v>
      </c>
      <c r="M432">
        <v>0.05</v>
      </c>
    </row>
    <row r="433" spans="1:13" x14ac:dyDescent="0.25">
      <c r="A433">
        <v>2006</v>
      </c>
      <c r="B433" t="s">
        <v>259</v>
      </c>
      <c r="C433">
        <v>27139</v>
      </c>
      <c r="D433" t="s">
        <v>276</v>
      </c>
      <c r="E433" t="s">
        <v>261</v>
      </c>
      <c r="F433" t="s">
        <v>268</v>
      </c>
      <c r="G433" t="s">
        <v>269</v>
      </c>
      <c r="H433">
        <v>97.546593684282399</v>
      </c>
      <c r="I433" t="s">
        <v>264</v>
      </c>
      <c r="J433" t="s">
        <v>265</v>
      </c>
      <c r="K433">
        <v>121013</v>
      </c>
      <c r="L433" t="s">
        <v>266</v>
      </c>
      <c r="M433">
        <v>0</v>
      </c>
    </row>
    <row r="434" spans="1:13" x14ac:dyDescent="0.25">
      <c r="A434">
        <v>2006</v>
      </c>
      <c r="B434" t="s">
        <v>259</v>
      </c>
      <c r="C434">
        <v>27139</v>
      </c>
      <c r="D434" t="s">
        <v>276</v>
      </c>
      <c r="E434" t="s">
        <v>261</v>
      </c>
      <c r="F434" t="s">
        <v>270</v>
      </c>
      <c r="G434" t="s">
        <v>263</v>
      </c>
      <c r="H434">
        <v>30295.790494333702</v>
      </c>
      <c r="I434" t="s">
        <v>264</v>
      </c>
      <c r="J434" t="s">
        <v>265</v>
      </c>
      <c r="K434">
        <v>121013</v>
      </c>
      <c r="L434" t="s">
        <v>266</v>
      </c>
      <c r="M434">
        <v>0.25</v>
      </c>
    </row>
    <row r="435" spans="1:13" x14ac:dyDescent="0.25">
      <c r="A435">
        <v>2006</v>
      </c>
      <c r="B435" t="s">
        <v>259</v>
      </c>
      <c r="C435">
        <v>27139</v>
      </c>
      <c r="D435" t="s">
        <v>276</v>
      </c>
      <c r="E435" t="s">
        <v>261</v>
      </c>
      <c r="F435" t="s">
        <v>270</v>
      </c>
      <c r="G435" t="s">
        <v>267</v>
      </c>
      <c r="H435">
        <v>133522.96803729</v>
      </c>
      <c r="I435" t="s">
        <v>264</v>
      </c>
      <c r="J435" t="s">
        <v>265</v>
      </c>
      <c r="K435">
        <v>121013</v>
      </c>
      <c r="L435" t="s">
        <v>266</v>
      </c>
      <c r="M435">
        <v>1.1000000000000001</v>
      </c>
    </row>
    <row r="436" spans="1:13" x14ac:dyDescent="0.25">
      <c r="A436">
        <v>2006</v>
      </c>
      <c r="B436" t="s">
        <v>259</v>
      </c>
      <c r="C436">
        <v>27139</v>
      </c>
      <c r="D436" t="s">
        <v>276</v>
      </c>
      <c r="E436" t="s">
        <v>261</v>
      </c>
      <c r="F436" t="s">
        <v>270</v>
      </c>
      <c r="G436" t="s">
        <v>269</v>
      </c>
      <c r="H436">
        <v>0.82353657506129796</v>
      </c>
      <c r="I436" t="s">
        <v>264</v>
      </c>
      <c r="J436" t="s">
        <v>265</v>
      </c>
      <c r="K436">
        <v>121013</v>
      </c>
      <c r="L436" t="s">
        <v>266</v>
      </c>
      <c r="M436">
        <v>0</v>
      </c>
    </row>
    <row r="437" spans="1:13" x14ac:dyDescent="0.25">
      <c r="A437">
        <v>2006</v>
      </c>
      <c r="B437" t="s">
        <v>259</v>
      </c>
      <c r="C437">
        <v>27141</v>
      </c>
      <c r="D437" t="s">
        <v>277</v>
      </c>
      <c r="E437" t="s">
        <v>261</v>
      </c>
      <c r="F437" t="s">
        <v>262</v>
      </c>
      <c r="G437" t="s">
        <v>263</v>
      </c>
      <c r="H437">
        <v>324049.88709146</v>
      </c>
      <c r="I437" t="s">
        <v>264</v>
      </c>
      <c r="J437" t="s">
        <v>265</v>
      </c>
      <c r="K437">
        <v>84079</v>
      </c>
      <c r="L437" t="s">
        <v>266</v>
      </c>
      <c r="M437">
        <v>3.85</v>
      </c>
    </row>
    <row r="438" spans="1:13" x14ac:dyDescent="0.25">
      <c r="A438">
        <v>2006</v>
      </c>
      <c r="B438" t="s">
        <v>259</v>
      </c>
      <c r="C438">
        <v>27141</v>
      </c>
      <c r="D438" t="s">
        <v>277</v>
      </c>
      <c r="E438" t="s">
        <v>261</v>
      </c>
      <c r="F438" t="s">
        <v>262</v>
      </c>
      <c r="G438" t="s">
        <v>267</v>
      </c>
      <c r="H438">
        <v>18855.323623659799</v>
      </c>
      <c r="I438" t="s">
        <v>264</v>
      </c>
      <c r="J438" t="s">
        <v>265</v>
      </c>
      <c r="K438">
        <v>84079</v>
      </c>
      <c r="L438" t="s">
        <v>266</v>
      </c>
      <c r="M438">
        <v>0.22</v>
      </c>
    </row>
    <row r="439" spans="1:13" x14ac:dyDescent="0.25">
      <c r="A439">
        <v>2006</v>
      </c>
      <c r="B439" t="s">
        <v>259</v>
      </c>
      <c r="C439">
        <v>27141</v>
      </c>
      <c r="D439" t="s">
        <v>277</v>
      </c>
      <c r="E439" t="s">
        <v>261</v>
      </c>
      <c r="F439" t="s">
        <v>262</v>
      </c>
      <c r="G439" t="s">
        <v>269</v>
      </c>
      <c r="H439">
        <v>0</v>
      </c>
      <c r="I439" t="s">
        <v>264</v>
      </c>
      <c r="J439" t="s">
        <v>265</v>
      </c>
      <c r="K439">
        <v>84079</v>
      </c>
      <c r="L439" t="s">
        <v>266</v>
      </c>
      <c r="M439">
        <v>0</v>
      </c>
    </row>
    <row r="440" spans="1:13" x14ac:dyDescent="0.25">
      <c r="A440">
        <v>2006</v>
      </c>
      <c r="B440" t="s">
        <v>259</v>
      </c>
      <c r="C440">
        <v>27141</v>
      </c>
      <c r="D440" t="s">
        <v>277</v>
      </c>
      <c r="E440" t="s">
        <v>261</v>
      </c>
      <c r="F440" t="s">
        <v>268</v>
      </c>
      <c r="G440" t="s">
        <v>263</v>
      </c>
      <c r="H440">
        <v>315.40945136718199</v>
      </c>
      <c r="I440" t="s">
        <v>264</v>
      </c>
      <c r="J440" t="s">
        <v>265</v>
      </c>
      <c r="K440">
        <v>84079</v>
      </c>
      <c r="L440" t="s">
        <v>266</v>
      </c>
      <c r="M440">
        <v>0</v>
      </c>
    </row>
    <row r="441" spans="1:13" x14ac:dyDescent="0.25">
      <c r="A441">
        <v>2006</v>
      </c>
      <c r="B441" t="s">
        <v>259</v>
      </c>
      <c r="C441">
        <v>27141</v>
      </c>
      <c r="D441" t="s">
        <v>277</v>
      </c>
      <c r="E441" t="s">
        <v>261</v>
      </c>
      <c r="F441" t="s">
        <v>268</v>
      </c>
      <c r="G441" t="s">
        <v>267</v>
      </c>
      <c r="H441">
        <v>3972.8085402004799</v>
      </c>
      <c r="I441" t="s">
        <v>264</v>
      </c>
      <c r="J441" t="s">
        <v>265</v>
      </c>
      <c r="K441">
        <v>84079</v>
      </c>
      <c r="L441" t="s">
        <v>266</v>
      </c>
      <c r="M441">
        <v>0.05</v>
      </c>
    </row>
    <row r="442" spans="1:13" x14ac:dyDescent="0.25">
      <c r="A442">
        <v>2006</v>
      </c>
      <c r="B442" t="s">
        <v>259</v>
      </c>
      <c r="C442">
        <v>27141</v>
      </c>
      <c r="D442" t="s">
        <v>277</v>
      </c>
      <c r="E442" t="s">
        <v>261</v>
      </c>
      <c r="F442" t="s">
        <v>268</v>
      </c>
      <c r="G442" t="s">
        <v>269</v>
      </c>
      <c r="H442">
        <v>63.704559246445797</v>
      </c>
      <c r="I442" t="s">
        <v>264</v>
      </c>
      <c r="J442" t="s">
        <v>265</v>
      </c>
      <c r="K442">
        <v>84079</v>
      </c>
      <c r="L442" t="s">
        <v>266</v>
      </c>
      <c r="M442">
        <v>0</v>
      </c>
    </row>
    <row r="443" spans="1:13" x14ac:dyDescent="0.25">
      <c r="A443">
        <v>2006</v>
      </c>
      <c r="B443" t="s">
        <v>259</v>
      </c>
      <c r="C443">
        <v>27141</v>
      </c>
      <c r="D443" t="s">
        <v>277</v>
      </c>
      <c r="E443" t="s">
        <v>261</v>
      </c>
      <c r="F443" t="s">
        <v>270</v>
      </c>
      <c r="G443" t="s">
        <v>263</v>
      </c>
      <c r="H443">
        <v>19951.316939792599</v>
      </c>
      <c r="I443" t="s">
        <v>264</v>
      </c>
      <c r="J443" t="s">
        <v>265</v>
      </c>
      <c r="K443">
        <v>84079</v>
      </c>
      <c r="L443" t="s">
        <v>266</v>
      </c>
      <c r="M443">
        <v>0.24</v>
      </c>
    </row>
    <row r="444" spans="1:13" x14ac:dyDescent="0.25">
      <c r="A444">
        <v>2006</v>
      </c>
      <c r="B444" t="s">
        <v>259</v>
      </c>
      <c r="C444">
        <v>27141</v>
      </c>
      <c r="D444" t="s">
        <v>277</v>
      </c>
      <c r="E444" t="s">
        <v>261</v>
      </c>
      <c r="F444" t="s">
        <v>270</v>
      </c>
      <c r="G444" t="s">
        <v>267</v>
      </c>
      <c r="H444">
        <v>90385.817965388094</v>
      </c>
      <c r="I444" t="s">
        <v>264</v>
      </c>
      <c r="J444" t="s">
        <v>265</v>
      </c>
      <c r="K444">
        <v>84079</v>
      </c>
      <c r="L444" t="s">
        <v>266</v>
      </c>
      <c r="M444">
        <v>1.08</v>
      </c>
    </row>
    <row r="445" spans="1:13" x14ac:dyDescent="0.25">
      <c r="A445">
        <v>2006</v>
      </c>
      <c r="B445" t="s">
        <v>259</v>
      </c>
      <c r="C445">
        <v>27141</v>
      </c>
      <c r="D445" t="s">
        <v>277</v>
      </c>
      <c r="E445" t="s">
        <v>261</v>
      </c>
      <c r="F445" t="s">
        <v>270</v>
      </c>
      <c r="G445" t="s">
        <v>269</v>
      </c>
      <c r="H445">
        <v>0.55369751957654201</v>
      </c>
      <c r="I445" t="s">
        <v>264</v>
      </c>
      <c r="J445" t="s">
        <v>265</v>
      </c>
      <c r="K445">
        <v>84079</v>
      </c>
      <c r="L445" t="s">
        <v>266</v>
      </c>
      <c r="M445">
        <v>0</v>
      </c>
    </row>
    <row r="446" spans="1:13" x14ac:dyDescent="0.25">
      <c r="A446">
        <v>2006</v>
      </c>
      <c r="B446" t="s">
        <v>259</v>
      </c>
      <c r="C446">
        <v>27163</v>
      </c>
      <c r="D446" t="s">
        <v>278</v>
      </c>
      <c r="E446" t="s">
        <v>261</v>
      </c>
      <c r="F446" t="s">
        <v>262</v>
      </c>
      <c r="G446" t="s">
        <v>263</v>
      </c>
      <c r="H446">
        <v>820153.95978423301</v>
      </c>
      <c r="I446" t="s">
        <v>264</v>
      </c>
      <c r="J446" t="s">
        <v>265</v>
      </c>
      <c r="K446">
        <v>225091</v>
      </c>
      <c r="L446" t="s">
        <v>266</v>
      </c>
      <c r="M446">
        <v>3.64</v>
      </c>
    </row>
    <row r="447" spans="1:13" x14ac:dyDescent="0.25">
      <c r="A447">
        <v>2006</v>
      </c>
      <c r="B447" t="s">
        <v>259</v>
      </c>
      <c r="C447">
        <v>27163</v>
      </c>
      <c r="D447" t="s">
        <v>278</v>
      </c>
      <c r="E447" t="s">
        <v>261</v>
      </c>
      <c r="F447" t="s">
        <v>262</v>
      </c>
      <c r="G447" t="s">
        <v>267</v>
      </c>
      <c r="H447">
        <v>30162.637591750801</v>
      </c>
      <c r="I447" t="s">
        <v>264</v>
      </c>
      <c r="J447" t="s">
        <v>265</v>
      </c>
      <c r="K447">
        <v>225091</v>
      </c>
      <c r="L447" t="s">
        <v>266</v>
      </c>
      <c r="M447">
        <v>0.13</v>
      </c>
    </row>
    <row r="448" spans="1:13" x14ac:dyDescent="0.25">
      <c r="A448">
        <v>2006</v>
      </c>
      <c r="B448" t="s">
        <v>259</v>
      </c>
      <c r="C448">
        <v>27163</v>
      </c>
      <c r="D448" t="s">
        <v>278</v>
      </c>
      <c r="E448" t="s">
        <v>261</v>
      </c>
      <c r="F448" t="s">
        <v>262</v>
      </c>
      <c r="G448" t="s">
        <v>269</v>
      </c>
      <c r="H448">
        <v>0</v>
      </c>
      <c r="I448" t="s">
        <v>264</v>
      </c>
      <c r="J448" t="s">
        <v>265</v>
      </c>
      <c r="K448">
        <v>225091</v>
      </c>
      <c r="L448" t="s">
        <v>266</v>
      </c>
      <c r="M448">
        <v>0</v>
      </c>
    </row>
    <row r="449" spans="1:13" x14ac:dyDescent="0.25">
      <c r="A449">
        <v>2006</v>
      </c>
      <c r="B449" t="s">
        <v>259</v>
      </c>
      <c r="C449">
        <v>27163</v>
      </c>
      <c r="D449" t="s">
        <v>278</v>
      </c>
      <c r="E449" t="s">
        <v>261</v>
      </c>
      <c r="F449" t="s">
        <v>268</v>
      </c>
      <c r="G449" t="s">
        <v>263</v>
      </c>
      <c r="H449">
        <v>639.42138288860201</v>
      </c>
      <c r="I449" t="s">
        <v>264</v>
      </c>
      <c r="J449" t="s">
        <v>265</v>
      </c>
      <c r="K449">
        <v>225091</v>
      </c>
      <c r="L449" t="s">
        <v>266</v>
      </c>
      <c r="M449">
        <v>0</v>
      </c>
    </row>
    <row r="450" spans="1:13" x14ac:dyDescent="0.25">
      <c r="A450">
        <v>2006</v>
      </c>
      <c r="B450" t="s">
        <v>259</v>
      </c>
      <c r="C450">
        <v>27163</v>
      </c>
      <c r="D450" t="s">
        <v>278</v>
      </c>
      <c r="E450" t="s">
        <v>261</v>
      </c>
      <c r="F450" t="s">
        <v>268</v>
      </c>
      <c r="G450" t="s">
        <v>267</v>
      </c>
      <c r="H450">
        <v>10682.7467936667</v>
      </c>
      <c r="I450" t="s">
        <v>264</v>
      </c>
      <c r="J450" t="s">
        <v>265</v>
      </c>
      <c r="K450">
        <v>225091</v>
      </c>
      <c r="L450" t="s">
        <v>266</v>
      </c>
      <c r="M450">
        <v>0.05</v>
      </c>
    </row>
    <row r="451" spans="1:13" x14ac:dyDescent="0.25">
      <c r="A451">
        <v>2006</v>
      </c>
      <c r="B451" t="s">
        <v>259</v>
      </c>
      <c r="C451">
        <v>27163</v>
      </c>
      <c r="D451" t="s">
        <v>278</v>
      </c>
      <c r="E451" t="s">
        <v>261</v>
      </c>
      <c r="F451" t="s">
        <v>268</v>
      </c>
      <c r="G451" t="s">
        <v>269</v>
      </c>
      <c r="H451">
        <v>192.80204333478699</v>
      </c>
      <c r="I451" t="s">
        <v>264</v>
      </c>
      <c r="J451" t="s">
        <v>265</v>
      </c>
      <c r="K451">
        <v>225091</v>
      </c>
      <c r="L451" t="s">
        <v>266</v>
      </c>
      <c r="M451">
        <v>0</v>
      </c>
    </row>
    <row r="452" spans="1:13" x14ac:dyDescent="0.25">
      <c r="A452">
        <v>2006</v>
      </c>
      <c r="B452" t="s">
        <v>259</v>
      </c>
      <c r="C452">
        <v>27163</v>
      </c>
      <c r="D452" t="s">
        <v>278</v>
      </c>
      <c r="E452" t="s">
        <v>261</v>
      </c>
      <c r="F452" t="s">
        <v>270</v>
      </c>
      <c r="G452" t="s">
        <v>263</v>
      </c>
      <c r="H452">
        <v>41930.438396185702</v>
      </c>
      <c r="I452" t="s">
        <v>264</v>
      </c>
      <c r="J452" t="s">
        <v>265</v>
      </c>
      <c r="K452">
        <v>225091</v>
      </c>
      <c r="L452" t="s">
        <v>266</v>
      </c>
      <c r="M452">
        <v>0.19</v>
      </c>
    </row>
    <row r="453" spans="1:13" x14ac:dyDescent="0.25">
      <c r="A453">
        <v>2006</v>
      </c>
      <c r="B453" t="s">
        <v>259</v>
      </c>
      <c r="C453">
        <v>27163</v>
      </c>
      <c r="D453" t="s">
        <v>278</v>
      </c>
      <c r="E453" t="s">
        <v>261</v>
      </c>
      <c r="F453" t="s">
        <v>270</v>
      </c>
      <c r="G453" t="s">
        <v>267</v>
      </c>
      <c r="H453">
        <v>232968.79818036701</v>
      </c>
      <c r="I453" t="s">
        <v>264</v>
      </c>
      <c r="J453" t="s">
        <v>265</v>
      </c>
      <c r="K453">
        <v>225091</v>
      </c>
      <c r="L453" t="s">
        <v>266</v>
      </c>
      <c r="M453">
        <v>1.03</v>
      </c>
    </row>
    <row r="454" spans="1:13" x14ac:dyDescent="0.25">
      <c r="A454">
        <v>2006</v>
      </c>
      <c r="B454" t="s">
        <v>259</v>
      </c>
      <c r="C454">
        <v>27163</v>
      </c>
      <c r="D454" t="s">
        <v>278</v>
      </c>
      <c r="E454" t="s">
        <v>261</v>
      </c>
      <c r="F454" t="s">
        <v>270</v>
      </c>
      <c r="G454" t="s">
        <v>269</v>
      </c>
      <c r="H454">
        <v>1.6638021525806499</v>
      </c>
      <c r="I454" t="s">
        <v>264</v>
      </c>
      <c r="J454" t="s">
        <v>265</v>
      </c>
      <c r="K454">
        <v>225091</v>
      </c>
      <c r="L454" t="s">
        <v>266</v>
      </c>
      <c r="M454">
        <v>0</v>
      </c>
    </row>
    <row r="455" spans="1:13" x14ac:dyDescent="0.25">
      <c r="A455">
        <v>2006</v>
      </c>
      <c r="B455" t="s">
        <v>259</v>
      </c>
      <c r="C455">
        <v>55093</v>
      </c>
      <c r="D455" t="s">
        <v>279</v>
      </c>
      <c r="E455" t="s">
        <v>261</v>
      </c>
      <c r="F455" t="s">
        <v>262</v>
      </c>
      <c r="G455" t="s">
        <v>263</v>
      </c>
      <c r="H455">
        <v>140678.18138354801</v>
      </c>
      <c r="I455" t="s">
        <v>264</v>
      </c>
      <c r="J455" t="s">
        <v>265</v>
      </c>
      <c r="K455">
        <v>39915</v>
      </c>
      <c r="L455" t="s">
        <v>266</v>
      </c>
      <c r="M455">
        <v>3.52</v>
      </c>
    </row>
    <row r="456" spans="1:13" x14ac:dyDescent="0.25">
      <c r="A456">
        <v>2006</v>
      </c>
      <c r="B456" t="s">
        <v>259</v>
      </c>
      <c r="C456">
        <v>55093</v>
      </c>
      <c r="D456" t="s">
        <v>279</v>
      </c>
      <c r="E456" t="s">
        <v>261</v>
      </c>
      <c r="F456" t="s">
        <v>262</v>
      </c>
      <c r="G456" t="s">
        <v>267</v>
      </c>
      <c r="H456">
        <v>8896.6326674776301</v>
      </c>
      <c r="I456" t="s">
        <v>264</v>
      </c>
      <c r="J456" t="s">
        <v>265</v>
      </c>
      <c r="K456">
        <v>39915</v>
      </c>
      <c r="L456" t="s">
        <v>266</v>
      </c>
      <c r="M456">
        <v>0.22</v>
      </c>
    </row>
    <row r="457" spans="1:13" x14ac:dyDescent="0.25">
      <c r="A457">
        <v>2006</v>
      </c>
      <c r="B457" t="s">
        <v>259</v>
      </c>
      <c r="C457">
        <v>55093</v>
      </c>
      <c r="D457" t="s">
        <v>279</v>
      </c>
      <c r="E457" t="s">
        <v>261</v>
      </c>
      <c r="F457" t="s">
        <v>262</v>
      </c>
      <c r="G457" t="s">
        <v>269</v>
      </c>
      <c r="H457">
        <v>0</v>
      </c>
      <c r="I457" t="s">
        <v>264</v>
      </c>
      <c r="J457" t="s">
        <v>265</v>
      </c>
      <c r="K457">
        <v>39915</v>
      </c>
      <c r="L457" t="s">
        <v>266</v>
      </c>
      <c r="M457">
        <v>0</v>
      </c>
    </row>
    <row r="458" spans="1:13" x14ac:dyDescent="0.25">
      <c r="A458">
        <v>2006</v>
      </c>
      <c r="B458" t="s">
        <v>259</v>
      </c>
      <c r="C458">
        <v>55093</v>
      </c>
      <c r="D458" t="s">
        <v>279</v>
      </c>
      <c r="E458" t="s">
        <v>261</v>
      </c>
      <c r="F458" t="s">
        <v>268</v>
      </c>
      <c r="G458" t="s">
        <v>263</v>
      </c>
      <c r="H458">
        <v>115.5694270429</v>
      </c>
      <c r="I458" t="s">
        <v>264</v>
      </c>
      <c r="J458" t="s">
        <v>265</v>
      </c>
      <c r="K458">
        <v>39915</v>
      </c>
      <c r="L458" t="s">
        <v>266</v>
      </c>
      <c r="M458">
        <v>0</v>
      </c>
    </row>
    <row r="459" spans="1:13" x14ac:dyDescent="0.25">
      <c r="A459">
        <v>2006</v>
      </c>
      <c r="B459" t="s">
        <v>259</v>
      </c>
      <c r="C459">
        <v>55093</v>
      </c>
      <c r="D459" t="s">
        <v>279</v>
      </c>
      <c r="E459" t="s">
        <v>261</v>
      </c>
      <c r="F459" t="s">
        <v>268</v>
      </c>
      <c r="G459" t="s">
        <v>267</v>
      </c>
      <c r="H459">
        <v>2454.3885631829298</v>
      </c>
      <c r="I459" t="s">
        <v>264</v>
      </c>
      <c r="J459" t="s">
        <v>265</v>
      </c>
      <c r="K459">
        <v>39915</v>
      </c>
      <c r="L459" t="s">
        <v>266</v>
      </c>
      <c r="M459">
        <v>0.06</v>
      </c>
    </row>
    <row r="460" spans="1:13" x14ac:dyDescent="0.25">
      <c r="A460">
        <v>2006</v>
      </c>
      <c r="B460" t="s">
        <v>259</v>
      </c>
      <c r="C460">
        <v>55093</v>
      </c>
      <c r="D460" t="s">
        <v>279</v>
      </c>
      <c r="E460" t="s">
        <v>261</v>
      </c>
      <c r="F460" t="s">
        <v>268</v>
      </c>
      <c r="G460" t="s">
        <v>269</v>
      </c>
      <c r="H460">
        <v>46.018213825549303</v>
      </c>
      <c r="I460" t="s">
        <v>264</v>
      </c>
      <c r="J460" t="s">
        <v>265</v>
      </c>
      <c r="K460">
        <v>39915</v>
      </c>
      <c r="L460" t="s">
        <v>266</v>
      </c>
      <c r="M460">
        <v>0</v>
      </c>
    </row>
    <row r="461" spans="1:13" x14ac:dyDescent="0.25">
      <c r="A461">
        <v>2006</v>
      </c>
      <c r="B461" t="s">
        <v>259</v>
      </c>
      <c r="C461">
        <v>55093</v>
      </c>
      <c r="D461" t="s">
        <v>279</v>
      </c>
      <c r="E461" t="s">
        <v>261</v>
      </c>
      <c r="F461" t="s">
        <v>270</v>
      </c>
      <c r="G461" t="s">
        <v>263</v>
      </c>
      <c r="H461">
        <v>9073.4487664847402</v>
      </c>
      <c r="I461" t="s">
        <v>264</v>
      </c>
      <c r="J461" t="s">
        <v>265</v>
      </c>
      <c r="K461">
        <v>39915</v>
      </c>
      <c r="L461" t="s">
        <v>266</v>
      </c>
      <c r="M461">
        <v>0.23</v>
      </c>
    </row>
    <row r="462" spans="1:13" x14ac:dyDescent="0.25">
      <c r="A462">
        <v>2006</v>
      </c>
      <c r="B462" t="s">
        <v>259</v>
      </c>
      <c r="C462">
        <v>55093</v>
      </c>
      <c r="D462" t="s">
        <v>279</v>
      </c>
      <c r="E462" t="s">
        <v>261</v>
      </c>
      <c r="F462" t="s">
        <v>270</v>
      </c>
      <c r="G462" t="s">
        <v>267</v>
      </c>
      <c r="H462">
        <v>23102.498818999102</v>
      </c>
      <c r="I462" t="s">
        <v>264</v>
      </c>
      <c r="J462" t="s">
        <v>265</v>
      </c>
      <c r="K462">
        <v>39915</v>
      </c>
      <c r="L462" t="s">
        <v>266</v>
      </c>
      <c r="M462">
        <v>0.57999999999999996</v>
      </c>
    </row>
    <row r="463" spans="1:13" x14ac:dyDescent="0.25">
      <c r="A463">
        <v>2006</v>
      </c>
      <c r="B463" t="s">
        <v>259</v>
      </c>
      <c r="C463">
        <v>55093</v>
      </c>
      <c r="D463" t="s">
        <v>279</v>
      </c>
      <c r="E463" t="s">
        <v>261</v>
      </c>
      <c r="F463" t="s">
        <v>270</v>
      </c>
      <c r="G463" t="s">
        <v>269</v>
      </c>
      <c r="H463">
        <v>0.65430693539302098</v>
      </c>
      <c r="I463" t="s">
        <v>264</v>
      </c>
      <c r="J463" t="s">
        <v>265</v>
      </c>
      <c r="K463">
        <v>39915</v>
      </c>
      <c r="L463" t="s">
        <v>266</v>
      </c>
      <c r="M463">
        <v>0</v>
      </c>
    </row>
    <row r="464" spans="1:13" x14ac:dyDescent="0.25">
      <c r="A464">
        <v>2006</v>
      </c>
      <c r="B464" t="s">
        <v>259</v>
      </c>
      <c r="C464">
        <v>55109</v>
      </c>
      <c r="D464" t="s">
        <v>280</v>
      </c>
      <c r="E464" t="s">
        <v>261</v>
      </c>
      <c r="F464" t="s">
        <v>262</v>
      </c>
      <c r="G464" t="s">
        <v>263</v>
      </c>
      <c r="H464">
        <v>431963.63951893197</v>
      </c>
      <c r="I464" t="s">
        <v>264</v>
      </c>
      <c r="J464" t="s">
        <v>265</v>
      </c>
      <c r="K464">
        <v>79784</v>
      </c>
      <c r="L464" t="s">
        <v>266</v>
      </c>
      <c r="M464">
        <v>5.41</v>
      </c>
    </row>
    <row r="465" spans="1:13" x14ac:dyDescent="0.25">
      <c r="A465">
        <v>2006</v>
      </c>
      <c r="B465" t="s">
        <v>259</v>
      </c>
      <c r="C465">
        <v>55109</v>
      </c>
      <c r="D465" t="s">
        <v>280</v>
      </c>
      <c r="E465" t="s">
        <v>261</v>
      </c>
      <c r="F465" t="s">
        <v>262</v>
      </c>
      <c r="G465" t="s">
        <v>267</v>
      </c>
      <c r="H465">
        <v>27508.860639895898</v>
      </c>
      <c r="I465" t="s">
        <v>264</v>
      </c>
      <c r="J465" t="s">
        <v>265</v>
      </c>
      <c r="K465">
        <v>79784</v>
      </c>
      <c r="L465" t="s">
        <v>266</v>
      </c>
      <c r="M465">
        <v>0.34</v>
      </c>
    </row>
    <row r="466" spans="1:13" x14ac:dyDescent="0.25">
      <c r="A466">
        <v>2006</v>
      </c>
      <c r="B466" t="s">
        <v>259</v>
      </c>
      <c r="C466">
        <v>55109</v>
      </c>
      <c r="D466" t="s">
        <v>280</v>
      </c>
      <c r="E466" t="s">
        <v>261</v>
      </c>
      <c r="F466" t="s">
        <v>268</v>
      </c>
      <c r="G466" t="s">
        <v>263</v>
      </c>
      <c r="H466">
        <v>414.09150730934499</v>
      </c>
      <c r="I466" t="s">
        <v>264</v>
      </c>
      <c r="J466" t="s">
        <v>265</v>
      </c>
      <c r="K466">
        <v>79784</v>
      </c>
      <c r="L466" t="s">
        <v>266</v>
      </c>
      <c r="M466">
        <v>0.01</v>
      </c>
    </row>
    <row r="467" spans="1:13" x14ac:dyDescent="0.25">
      <c r="A467">
        <v>2006</v>
      </c>
      <c r="B467" t="s">
        <v>259</v>
      </c>
      <c r="C467">
        <v>55109</v>
      </c>
      <c r="D467" t="s">
        <v>280</v>
      </c>
      <c r="E467" t="s">
        <v>261</v>
      </c>
      <c r="F467" t="s">
        <v>268</v>
      </c>
      <c r="G467" t="s">
        <v>267</v>
      </c>
      <c r="H467">
        <v>7195.7590986237201</v>
      </c>
      <c r="I467" t="s">
        <v>264</v>
      </c>
      <c r="J467" t="s">
        <v>265</v>
      </c>
      <c r="K467">
        <v>79784</v>
      </c>
      <c r="L467" t="s">
        <v>266</v>
      </c>
      <c r="M467">
        <v>0.09</v>
      </c>
    </row>
    <row r="468" spans="1:13" x14ac:dyDescent="0.25">
      <c r="A468">
        <v>2006</v>
      </c>
      <c r="B468" t="s">
        <v>259</v>
      </c>
      <c r="C468">
        <v>55109</v>
      </c>
      <c r="D468" t="s">
        <v>280</v>
      </c>
      <c r="E468" t="s">
        <v>261</v>
      </c>
      <c r="F468" t="s">
        <v>268</v>
      </c>
      <c r="G468" t="s">
        <v>269</v>
      </c>
      <c r="H468">
        <v>84.366831965021106</v>
      </c>
      <c r="I468" t="s">
        <v>264</v>
      </c>
      <c r="J468" t="s">
        <v>265</v>
      </c>
      <c r="K468">
        <v>79784</v>
      </c>
      <c r="L468" t="s">
        <v>266</v>
      </c>
      <c r="M468">
        <v>0</v>
      </c>
    </row>
    <row r="469" spans="1:13" x14ac:dyDescent="0.25">
      <c r="A469">
        <v>2006</v>
      </c>
      <c r="B469" t="s">
        <v>259</v>
      </c>
      <c r="C469">
        <v>55109</v>
      </c>
      <c r="D469" t="s">
        <v>280</v>
      </c>
      <c r="E469" t="s">
        <v>261</v>
      </c>
      <c r="F469" t="s">
        <v>270</v>
      </c>
      <c r="G469" t="s">
        <v>263</v>
      </c>
      <c r="H469">
        <v>29172.444134251698</v>
      </c>
      <c r="I469" t="s">
        <v>264</v>
      </c>
      <c r="J469" t="s">
        <v>265</v>
      </c>
      <c r="K469">
        <v>79784</v>
      </c>
      <c r="L469" t="s">
        <v>266</v>
      </c>
      <c r="M469">
        <v>0.37</v>
      </c>
    </row>
    <row r="470" spans="1:13" x14ac:dyDescent="0.25">
      <c r="A470">
        <v>2006</v>
      </c>
      <c r="B470" t="s">
        <v>259</v>
      </c>
      <c r="C470">
        <v>55109</v>
      </c>
      <c r="D470" t="s">
        <v>280</v>
      </c>
      <c r="E470" t="s">
        <v>261</v>
      </c>
      <c r="F470" t="s">
        <v>270</v>
      </c>
      <c r="G470" t="s">
        <v>267</v>
      </c>
      <c r="H470">
        <v>146196.558007518</v>
      </c>
      <c r="I470" t="s">
        <v>264</v>
      </c>
      <c r="J470" t="s">
        <v>265</v>
      </c>
      <c r="K470">
        <v>79784</v>
      </c>
      <c r="L470" t="s">
        <v>266</v>
      </c>
      <c r="M470">
        <v>1.83</v>
      </c>
    </row>
    <row r="471" spans="1:13" x14ac:dyDescent="0.25">
      <c r="A471">
        <v>2006</v>
      </c>
      <c r="B471" t="s">
        <v>259</v>
      </c>
      <c r="C471">
        <v>55109</v>
      </c>
      <c r="D471" t="s">
        <v>280</v>
      </c>
      <c r="E471" t="s">
        <v>261</v>
      </c>
      <c r="F471" t="s">
        <v>270</v>
      </c>
      <c r="G471" t="s">
        <v>269</v>
      </c>
      <c r="H471">
        <v>3.4988358606659999</v>
      </c>
      <c r="I471" t="s">
        <v>264</v>
      </c>
      <c r="J471" t="s">
        <v>265</v>
      </c>
      <c r="K471">
        <v>79784</v>
      </c>
      <c r="L471" t="s">
        <v>266</v>
      </c>
      <c r="M471">
        <v>0</v>
      </c>
    </row>
    <row r="472" spans="1:13" x14ac:dyDescent="0.25">
      <c r="A472">
        <v>2007</v>
      </c>
      <c r="B472" t="s">
        <v>259</v>
      </c>
      <c r="C472">
        <v>27003</v>
      </c>
      <c r="D472" t="s">
        <v>260</v>
      </c>
      <c r="E472" t="s">
        <v>261</v>
      </c>
      <c r="F472" t="s">
        <v>262</v>
      </c>
      <c r="G472" t="s">
        <v>263</v>
      </c>
      <c r="H472">
        <v>1131513.9293714501</v>
      </c>
      <c r="I472" t="s">
        <v>264</v>
      </c>
      <c r="J472" t="s">
        <v>265</v>
      </c>
      <c r="K472">
        <v>325767</v>
      </c>
      <c r="L472" t="s">
        <v>266</v>
      </c>
      <c r="M472">
        <v>3.47</v>
      </c>
    </row>
    <row r="473" spans="1:13" x14ac:dyDescent="0.25">
      <c r="A473">
        <v>2007</v>
      </c>
      <c r="B473" t="s">
        <v>259</v>
      </c>
      <c r="C473">
        <v>27003</v>
      </c>
      <c r="D473" t="s">
        <v>260</v>
      </c>
      <c r="E473" t="s">
        <v>261</v>
      </c>
      <c r="F473" t="s">
        <v>262</v>
      </c>
      <c r="G473" t="s">
        <v>267</v>
      </c>
      <c r="H473">
        <v>34416.9892551378</v>
      </c>
      <c r="I473" t="s">
        <v>264</v>
      </c>
      <c r="J473" t="s">
        <v>265</v>
      </c>
      <c r="K473">
        <v>325767</v>
      </c>
      <c r="L473" t="s">
        <v>266</v>
      </c>
      <c r="M473">
        <v>0.11</v>
      </c>
    </row>
    <row r="474" spans="1:13" x14ac:dyDescent="0.25">
      <c r="A474">
        <v>2007</v>
      </c>
      <c r="B474" t="s">
        <v>259</v>
      </c>
      <c r="C474">
        <v>27003</v>
      </c>
      <c r="D474" t="s">
        <v>260</v>
      </c>
      <c r="E474" t="s">
        <v>261</v>
      </c>
      <c r="F474" t="s">
        <v>268</v>
      </c>
      <c r="G474" t="s">
        <v>263</v>
      </c>
      <c r="H474">
        <v>562.83194328313198</v>
      </c>
      <c r="I474" t="s">
        <v>264</v>
      </c>
      <c r="J474" t="s">
        <v>265</v>
      </c>
      <c r="K474">
        <v>325767</v>
      </c>
      <c r="L474" t="s">
        <v>266</v>
      </c>
      <c r="M474">
        <v>0</v>
      </c>
    </row>
    <row r="475" spans="1:13" x14ac:dyDescent="0.25">
      <c r="A475">
        <v>2007</v>
      </c>
      <c r="B475" t="s">
        <v>259</v>
      </c>
      <c r="C475">
        <v>27003</v>
      </c>
      <c r="D475" t="s">
        <v>260</v>
      </c>
      <c r="E475" t="s">
        <v>261</v>
      </c>
      <c r="F475" t="s">
        <v>268</v>
      </c>
      <c r="G475" t="s">
        <v>267</v>
      </c>
      <c r="H475">
        <v>14080.252987809199</v>
      </c>
      <c r="I475" t="s">
        <v>264</v>
      </c>
      <c r="J475" t="s">
        <v>265</v>
      </c>
      <c r="K475">
        <v>325767</v>
      </c>
      <c r="L475" t="s">
        <v>266</v>
      </c>
      <c r="M475">
        <v>0.04</v>
      </c>
    </row>
    <row r="476" spans="1:13" x14ac:dyDescent="0.25">
      <c r="A476">
        <v>2007</v>
      </c>
      <c r="B476" t="s">
        <v>259</v>
      </c>
      <c r="C476">
        <v>27003</v>
      </c>
      <c r="D476" t="s">
        <v>260</v>
      </c>
      <c r="E476" t="s">
        <v>261</v>
      </c>
      <c r="F476" t="s">
        <v>268</v>
      </c>
      <c r="G476" t="s">
        <v>269</v>
      </c>
      <c r="H476">
        <v>11.0958160167414</v>
      </c>
      <c r="I476" t="s">
        <v>264</v>
      </c>
      <c r="J476" t="s">
        <v>265</v>
      </c>
      <c r="K476">
        <v>325767</v>
      </c>
      <c r="L476" t="s">
        <v>266</v>
      </c>
      <c r="M476">
        <v>0</v>
      </c>
    </row>
    <row r="477" spans="1:13" x14ac:dyDescent="0.25">
      <c r="A477">
        <v>2007</v>
      </c>
      <c r="B477" t="s">
        <v>259</v>
      </c>
      <c r="C477">
        <v>27003</v>
      </c>
      <c r="D477" t="s">
        <v>260</v>
      </c>
      <c r="E477" t="s">
        <v>261</v>
      </c>
      <c r="F477" t="s">
        <v>270</v>
      </c>
      <c r="G477" t="s">
        <v>263</v>
      </c>
      <c r="H477">
        <v>85151.558065657999</v>
      </c>
      <c r="I477" t="s">
        <v>264</v>
      </c>
      <c r="J477" t="s">
        <v>265</v>
      </c>
      <c r="K477">
        <v>325767</v>
      </c>
      <c r="L477" t="s">
        <v>266</v>
      </c>
      <c r="M477">
        <v>0.26</v>
      </c>
    </row>
    <row r="478" spans="1:13" x14ac:dyDescent="0.25">
      <c r="A478">
        <v>2007</v>
      </c>
      <c r="B478" t="s">
        <v>259</v>
      </c>
      <c r="C478">
        <v>27003</v>
      </c>
      <c r="D478" t="s">
        <v>260</v>
      </c>
      <c r="E478" t="s">
        <v>261</v>
      </c>
      <c r="F478" t="s">
        <v>270</v>
      </c>
      <c r="G478" t="s">
        <v>267</v>
      </c>
      <c r="H478">
        <v>298272.53585317999</v>
      </c>
      <c r="I478" t="s">
        <v>264</v>
      </c>
      <c r="J478" t="s">
        <v>265</v>
      </c>
      <c r="K478">
        <v>325767</v>
      </c>
      <c r="L478" t="s">
        <v>266</v>
      </c>
      <c r="M478">
        <v>0.92</v>
      </c>
    </row>
    <row r="479" spans="1:13" x14ac:dyDescent="0.25">
      <c r="A479">
        <v>2007</v>
      </c>
      <c r="B479" t="s">
        <v>259</v>
      </c>
      <c r="C479">
        <v>27003</v>
      </c>
      <c r="D479" t="s">
        <v>260</v>
      </c>
      <c r="E479" t="s">
        <v>261</v>
      </c>
      <c r="F479" t="s">
        <v>270</v>
      </c>
      <c r="G479" t="s">
        <v>269</v>
      </c>
      <c r="H479">
        <v>1.9353073256873601</v>
      </c>
      <c r="I479" t="s">
        <v>264</v>
      </c>
      <c r="J479" t="s">
        <v>265</v>
      </c>
      <c r="K479">
        <v>325767</v>
      </c>
      <c r="L479" t="s">
        <v>266</v>
      </c>
      <c r="M479">
        <v>0</v>
      </c>
    </row>
    <row r="480" spans="1:13" x14ac:dyDescent="0.25">
      <c r="A480">
        <v>2007</v>
      </c>
      <c r="B480" t="s">
        <v>259</v>
      </c>
      <c r="C480">
        <v>27019</v>
      </c>
      <c r="D480" t="s">
        <v>271</v>
      </c>
      <c r="E480" t="s">
        <v>261</v>
      </c>
      <c r="F480" t="s">
        <v>262</v>
      </c>
      <c r="G480" t="s">
        <v>263</v>
      </c>
      <c r="H480">
        <v>338356.40336179599</v>
      </c>
      <c r="I480" t="s">
        <v>264</v>
      </c>
      <c r="J480" t="s">
        <v>265</v>
      </c>
      <c r="K480">
        <v>87270</v>
      </c>
      <c r="L480" t="s">
        <v>266</v>
      </c>
      <c r="M480">
        <v>3.88</v>
      </c>
    </row>
    <row r="481" spans="1:13" x14ac:dyDescent="0.25">
      <c r="A481">
        <v>2007</v>
      </c>
      <c r="B481" t="s">
        <v>259</v>
      </c>
      <c r="C481">
        <v>27019</v>
      </c>
      <c r="D481" t="s">
        <v>271</v>
      </c>
      <c r="E481" t="s">
        <v>261</v>
      </c>
      <c r="F481" t="s">
        <v>262</v>
      </c>
      <c r="G481" t="s">
        <v>267</v>
      </c>
      <c r="H481">
        <v>13562.359444068399</v>
      </c>
      <c r="I481" t="s">
        <v>264</v>
      </c>
      <c r="J481" t="s">
        <v>265</v>
      </c>
      <c r="K481">
        <v>87270</v>
      </c>
      <c r="L481" t="s">
        <v>266</v>
      </c>
      <c r="M481">
        <v>0.16</v>
      </c>
    </row>
    <row r="482" spans="1:13" x14ac:dyDescent="0.25">
      <c r="A482">
        <v>2007</v>
      </c>
      <c r="B482" t="s">
        <v>259</v>
      </c>
      <c r="C482">
        <v>27019</v>
      </c>
      <c r="D482" t="s">
        <v>271</v>
      </c>
      <c r="E482" t="s">
        <v>261</v>
      </c>
      <c r="F482" t="s">
        <v>268</v>
      </c>
      <c r="G482" t="s">
        <v>263</v>
      </c>
      <c r="H482">
        <v>174.00006386553</v>
      </c>
      <c r="I482" t="s">
        <v>264</v>
      </c>
      <c r="J482" t="s">
        <v>265</v>
      </c>
      <c r="K482">
        <v>87270</v>
      </c>
      <c r="L482" t="s">
        <v>266</v>
      </c>
      <c r="M482">
        <v>0</v>
      </c>
    </row>
    <row r="483" spans="1:13" x14ac:dyDescent="0.25">
      <c r="A483">
        <v>2007</v>
      </c>
      <c r="B483" t="s">
        <v>259</v>
      </c>
      <c r="C483">
        <v>27019</v>
      </c>
      <c r="D483" t="s">
        <v>271</v>
      </c>
      <c r="E483" t="s">
        <v>261</v>
      </c>
      <c r="F483" t="s">
        <v>268</v>
      </c>
      <c r="G483" t="s">
        <v>267</v>
      </c>
      <c r="H483">
        <v>3962.3516208286401</v>
      </c>
      <c r="I483" t="s">
        <v>264</v>
      </c>
      <c r="J483" t="s">
        <v>265</v>
      </c>
      <c r="K483">
        <v>87270</v>
      </c>
      <c r="L483" t="s">
        <v>266</v>
      </c>
      <c r="M483">
        <v>0.05</v>
      </c>
    </row>
    <row r="484" spans="1:13" x14ac:dyDescent="0.25">
      <c r="A484">
        <v>2007</v>
      </c>
      <c r="B484" t="s">
        <v>259</v>
      </c>
      <c r="C484">
        <v>27019</v>
      </c>
      <c r="D484" t="s">
        <v>271</v>
      </c>
      <c r="E484" t="s">
        <v>261</v>
      </c>
      <c r="F484" t="s">
        <v>268</v>
      </c>
      <c r="G484" t="s">
        <v>269</v>
      </c>
      <c r="H484">
        <v>147.03384980269701</v>
      </c>
      <c r="I484" t="s">
        <v>264</v>
      </c>
      <c r="J484" t="s">
        <v>265</v>
      </c>
      <c r="K484">
        <v>87270</v>
      </c>
      <c r="L484" t="s">
        <v>266</v>
      </c>
      <c r="M484">
        <v>0</v>
      </c>
    </row>
    <row r="485" spans="1:13" x14ac:dyDescent="0.25">
      <c r="A485">
        <v>2007</v>
      </c>
      <c r="B485" t="s">
        <v>259</v>
      </c>
      <c r="C485">
        <v>27019</v>
      </c>
      <c r="D485" t="s">
        <v>271</v>
      </c>
      <c r="E485" t="s">
        <v>261</v>
      </c>
      <c r="F485" t="s">
        <v>270</v>
      </c>
      <c r="G485" t="s">
        <v>263</v>
      </c>
      <c r="H485">
        <v>17091.010460835601</v>
      </c>
      <c r="I485" t="s">
        <v>264</v>
      </c>
      <c r="J485" t="s">
        <v>265</v>
      </c>
      <c r="K485">
        <v>87270</v>
      </c>
      <c r="L485" t="s">
        <v>266</v>
      </c>
      <c r="M485">
        <v>0.2</v>
      </c>
    </row>
    <row r="486" spans="1:13" x14ac:dyDescent="0.25">
      <c r="A486">
        <v>2007</v>
      </c>
      <c r="B486" t="s">
        <v>259</v>
      </c>
      <c r="C486">
        <v>27019</v>
      </c>
      <c r="D486" t="s">
        <v>271</v>
      </c>
      <c r="E486" t="s">
        <v>261</v>
      </c>
      <c r="F486" t="s">
        <v>270</v>
      </c>
      <c r="G486" t="s">
        <v>267</v>
      </c>
      <c r="H486">
        <v>89693.403141570205</v>
      </c>
      <c r="I486" t="s">
        <v>264</v>
      </c>
      <c r="J486" t="s">
        <v>265</v>
      </c>
      <c r="K486">
        <v>87270</v>
      </c>
      <c r="L486" t="s">
        <v>266</v>
      </c>
      <c r="M486">
        <v>1.03</v>
      </c>
    </row>
    <row r="487" spans="1:13" x14ac:dyDescent="0.25">
      <c r="A487">
        <v>2007</v>
      </c>
      <c r="B487" t="s">
        <v>259</v>
      </c>
      <c r="C487">
        <v>27019</v>
      </c>
      <c r="D487" t="s">
        <v>271</v>
      </c>
      <c r="E487" t="s">
        <v>261</v>
      </c>
      <c r="F487" t="s">
        <v>270</v>
      </c>
      <c r="G487" t="s">
        <v>269</v>
      </c>
      <c r="H487">
        <v>0.99827133805531798</v>
      </c>
      <c r="I487" t="s">
        <v>264</v>
      </c>
      <c r="J487" t="s">
        <v>265</v>
      </c>
      <c r="K487">
        <v>87270</v>
      </c>
      <c r="L487" t="s">
        <v>266</v>
      </c>
      <c r="M487">
        <v>0</v>
      </c>
    </row>
    <row r="488" spans="1:13" x14ac:dyDescent="0.25">
      <c r="A488">
        <v>2007</v>
      </c>
      <c r="B488" t="s">
        <v>259</v>
      </c>
      <c r="C488">
        <v>27025</v>
      </c>
      <c r="D488" t="s">
        <v>272</v>
      </c>
      <c r="E488" t="s">
        <v>261</v>
      </c>
      <c r="F488" t="s">
        <v>262</v>
      </c>
      <c r="G488" t="s">
        <v>263</v>
      </c>
      <c r="H488">
        <v>307750.24887060898</v>
      </c>
      <c r="I488" t="s">
        <v>264</v>
      </c>
      <c r="J488" t="s">
        <v>265</v>
      </c>
      <c r="K488">
        <v>52312</v>
      </c>
      <c r="L488" t="s">
        <v>266</v>
      </c>
      <c r="M488">
        <v>5.88</v>
      </c>
    </row>
    <row r="489" spans="1:13" x14ac:dyDescent="0.25">
      <c r="A489">
        <v>2007</v>
      </c>
      <c r="B489" t="s">
        <v>259</v>
      </c>
      <c r="C489">
        <v>27025</v>
      </c>
      <c r="D489" t="s">
        <v>272</v>
      </c>
      <c r="E489" t="s">
        <v>261</v>
      </c>
      <c r="F489" t="s">
        <v>262</v>
      </c>
      <c r="G489" t="s">
        <v>267</v>
      </c>
      <c r="H489">
        <v>19212.688866674998</v>
      </c>
      <c r="I489" t="s">
        <v>264</v>
      </c>
      <c r="J489" t="s">
        <v>265</v>
      </c>
      <c r="K489">
        <v>52312</v>
      </c>
      <c r="L489" t="s">
        <v>266</v>
      </c>
      <c r="M489">
        <v>0.37</v>
      </c>
    </row>
    <row r="490" spans="1:13" x14ac:dyDescent="0.25">
      <c r="A490">
        <v>2007</v>
      </c>
      <c r="B490" t="s">
        <v>259</v>
      </c>
      <c r="C490">
        <v>27025</v>
      </c>
      <c r="D490" t="s">
        <v>272</v>
      </c>
      <c r="E490" t="s">
        <v>261</v>
      </c>
      <c r="F490" t="s">
        <v>268</v>
      </c>
      <c r="G490" t="s">
        <v>263</v>
      </c>
      <c r="H490">
        <v>565.60749269450002</v>
      </c>
      <c r="I490" t="s">
        <v>264</v>
      </c>
      <c r="J490" t="s">
        <v>265</v>
      </c>
      <c r="K490">
        <v>52312</v>
      </c>
      <c r="L490" t="s">
        <v>266</v>
      </c>
      <c r="M490">
        <v>0.01</v>
      </c>
    </row>
    <row r="491" spans="1:13" x14ac:dyDescent="0.25">
      <c r="A491">
        <v>2007</v>
      </c>
      <c r="B491" t="s">
        <v>259</v>
      </c>
      <c r="C491">
        <v>27025</v>
      </c>
      <c r="D491" t="s">
        <v>272</v>
      </c>
      <c r="E491" t="s">
        <v>261</v>
      </c>
      <c r="F491" t="s">
        <v>268</v>
      </c>
      <c r="G491" t="s">
        <v>267</v>
      </c>
      <c r="H491">
        <v>3243.5845296519701</v>
      </c>
      <c r="I491" t="s">
        <v>264</v>
      </c>
      <c r="J491" t="s">
        <v>265</v>
      </c>
      <c r="K491">
        <v>52312</v>
      </c>
      <c r="L491" t="s">
        <v>266</v>
      </c>
      <c r="M491">
        <v>0.06</v>
      </c>
    </row>
    <row r="492" spans="1:13" x14ac:dyDescent="0.25">
      <c r="A492">
        <v>2007</v>
      </c>
      <c r="B492" t="s">
        <v>259</v>
      </c>
      <c r="C492">
        <v>27025</v>
      </c>
      <c r="D492" t="s">
        <v>272</v>
      </c>
      <c r="E492" t="s">
        <v>261</v>
      </c>
      <c r="F492" t="s">
        <v>268</v>
      </c>
      <c r="G492" t="s">
        <v>269</v>
      </c>
      <c r="H492">
        <v>68.424072074275998</v>
      </c>
      <c r="I492" t="s">
        <v>264</v>
      </c>
      <c r="J492" t="s">
        <v>265</v>
      </c>
      <c r="K492">
        <v>52312</v>
      </c>
      <c r="L492" t="s">
        <v>266</v>
      </c>
      <c r="M492">
        <v>0</v>
      </c>
    </row>
    <row r="493" spans="1:13" x14ac:dyDescent="0.25">
      <c r="A493">
        <v>2007</v>
      </c>
      <c r="B493" t="s">
        <v>259</v>
      </c>
      <c r="C493">
        <v>27025</v>
      </c>
      <c r="D493" t="s">
        <v>272</v>
      </c>
      <c r="E493" t="s">
        <v>261</v>
      </c>
      <c r="F493" t="s">
        <v>270</v>
      </c>
      <c r="G493" t="s">
        <v>263</v>
      </c>
      <c r="H493">
        <v>13861.2231006984</v>
      </c>
      <c r="I493" t="s">
        <v>264</v>
      </c>
      <c r="J493" t="s">
        <v>265</v>
      </c>
      <c r="K493">
        <v>52312</v>
      </c>
      <c r="L493" t="s">
        <v>266</v>
      </c>
      <c r="M493">
        <v>0.26</v>
      </c>
    </row>
    <row r="494" spans="1:13" x14ac:dyDescent="0.25">
      <c r="A494">
        <v>2007</v>
      </c>
      <c r="B494" t="s">
        <v>259</v>
      </c>
      <c r="C494">
        <v>27025</v>
      </c>
      <c r="D494" t="s">
        <v>272</v>
      </c>
      <c r="E494" t="s">
        <v>261</v>
      </c>
      <c r="F494" t="s">
        <v>270</v>
      </c>
      <c r="G494" t="s">
        <v>267</v>
      </c>
      <c r="H494">
        <v>79572.973946948594</v>
      </c>
      <c r="I494" t="s">
        <v>264</v>
      </c>
      <c r="J494" t="s">
        <v>265</v>
      </c>
      <c r="K494">
        <v>52312</v>
      </c>
      <c r="L494" t="s">
        <v>266</v>
      </c>
      <c r="M494">
        <v>1.52</v>
      </c>
    </row>
    <row r="495" spans="1:13" x14ac:dyDescent="0.25">
      <c r="A495">
        <v>2007</v>
      </c>
      <c r="B495" t="s">
        <v>259</v>
      </c>
      <c r="C495">
        <v>27025</v>
      </c>
      <c r="D495" t="s">
        <v>272</v>
      </c>
      <c r="E495" t="s">
        <v>261</v>
      </c>
      <c r="F495" t="s">
        <v>270</v>
      </c>
      <c r="G495" t="s">
        <v>269</v>
      </c>
      <c r="H495">
        <v>0.44688509710283603</v>
      </c>
      <c r="I495" t="s">
        <v>264</v>
      </c>
      <c r="J495" t="s">
        <v>265</v>
      </c>
      <c r="K495">
        <v>52312</v>
      </c>
      <c r="L495" t="s">
        <v>266</v>
      </c>
      <c r="M495">
        <v>0</v>
      </c>
    </row>
    <row r="496" spans="1:13" x14ac:dyDescent="0.25">
      <c r="A496">
        <v>2007</v>
      </c>
      <c r="B496" t="s">
        <v>259</v>
      </c>
      <c r="C496">
        <v>27037</v>
      </c>
      <c r="D496" t="s">
        <v>273</v>
      </c>
      <c r="E496" t="s">
        <v>261</v>
      </c>
      <c r="F496" t="s">
        <v>262</v>
      </c>
      <c r="G496" t="s">
        <v>263</v>
      </c>
      <c r="H496">
        <v>1463852.8564869701</v>
      </c>
      <c r="I496" t="s">
        <v>264</v>
      </c>
      <c r="J496" t="s">
        <v>265</v>
      </c>
      <c r="K496">
        <v>390767</v>
      </c>
      <c r="L496" t="s">
        <v>266</v>
      </c>
      <c r="M496">
        <v>3.75</v>
      </c>
    </row>
    <row r="497" spans="1:13" x14ac:dyDescent="0.25">
      <c r="A497">
        <v>2007</v>
      </c>
      <c r="B497" t="s">
        <v>259</v>
      </c>
      <c r="C497">
        <v>27037</v>
      </c>
      <c r="D497" t="s">
        <v>273</v>
      </c>
      <c r="E497" t="s">
        <v>261</v>
      </c>
      <c r="F497" t="s">
        <v>262</v>
      </c>
      <c r="G497" t="s">
        <v>267</v>
      </c>
      <c r="H497">
        <v>33438.701662107604</v>
      </c>
      <c r="I497" t="s">
        <v>264</v>
      </c>
      <c r="J497" t="s">
        <v>265</v>
      </c>
      <c r="K497">
        <v>390767</v>
      </c>
      <c r="L497" t="s">
        <v>266</v>
      </c>
      <c r="M497">
        <v>0.09</v>
      </c>
    </row>
    <row r="498" spans="1:13" x14ac:dyDescent="0.25">
      <c r="A498">
        <v>2007</v>
      </c>
      <c r="B498" t="s">
        <v>259</v>
      </c>
      <c r="C498">
        <v>27037</v>
      </c>
      <c r="D498" t="s">
        <v>273</v>
      </c>
      <c r="E498" t="s">
        <v>261</v>
      </c>
      <c r="F498" t="s">
        <v>262</v>
      </c>
      <c r="G498" t="s">
        <v>269</v>
      </c>
      <c r="H498">
        <v>0</v>
      </c>
      <c r="I498" t="s">
        <v>264</v>
      </c>
      <c r="J498" t="s">
        <v>265</v>
      </c>
      <c r="K498">
        <v>390767</v>
      </c>
      <c r="L498" t="s">
        <v>266</v>
      </c>
      <c r="M498">
        <v>0</v>
      </c>
    </row>
    <row r="499" spans="1:13" x14ac:dyDescent="0.25">
      <c r="A499">
        <v>2007</v>
      </c>
      <c r="B499" t="s">
        <v>259</v>
      </c>
      <c r="C499">
        <v>27037</v>
      </c>
      <c r="D499" t="s">
        <v>273</v>
      </c>
      <c r="E499" t="s">
        <v>261</v>
      </c>
      <c r="F499" t="s">
        <v>268</v>
      </c>
      <c r="G499" t="s">
        <v>263</v>
      </c>
      <c r="H499">
        <v>515.245524435319</v>
      </c>
      <c r="I499" t="s">
        <v>264</v>
      </c>
      <c r="J499" t="s">
        <v>265</v>
      </c>
      <c r="K499">
        <v>390767</v>
      </c>
      <c r="L499" t="s">
        <v>266</v>
      </c>
      <c r="M499">
        <v>0</v>
      </c>
    </row>
    <row r="500" spans="1:13" x14ac:dyDescent="0.25">
      <c r="A500">
        <v>2007</v>
      </c>
      <c r="B500" t="s">
        <v>259</v>
      </c>
      <c r="C500">
        <v>27037</v>
      </c>
      <c r="D500" t="s">
        <v>273</v>
      </c>
      <c r="E500" t="s">
        <v>261</v>
      </c>
      <c r="F500" t="s">
        <v>268</v>
      </c>
      <c r="G500" t="s">
        <v>267</v>
      </c>
      <c r="H500">
        <v>18245.1752751516</v>
      </c>
      <c r="I500" t="s">
        <v>264</v>
      </c>
      <c r="J500" t="s">
        <v>265</v>
      </c>
      <c r="K500">
        <v>390767</v>
      </c>
      <c r="L500" t="s">
        <v>266</v>
      </c>
      <c r="M500">
        <v>0.05</v>
      </c>
    </row>
    <row r="501" spans="1:13" x14ac:dyDescent="0.25">
      <c r="A501">
        <v>2007</v>
      </c>
      <c r="B501" t="s">
        <v>259</v>
      </c>
      <c r="C501">
        <v>27037</v>
      </c>
      <c r="D501" t="s">
        <v>273</v>
      </c>
      <c r="E501" t="s">
        <v>261</v>
      </c>
      <c r="F501" t="s">
        <v>268</v>
      </c>
      <c r="G501" t="s">
        <v>269</v>
      </c>
      <c r="H501">
        <v>21.233963016746699</v>
      </c>
      <c r="I501" t="s">
        <v>264</v>
      </c>
      <c r="J501" t="s">
        <v>265</v>
      </c>
      <c r="K501">
        <v>390767</v>
      </c>
      <c r="L501" t="s">
        <v>266</v>
      </c>
      <c r="M501">
        <v>0</v>
      </c>
    </row>
    <row r="502" spans="1:13" x14ac:dyDescent="0.25">
      <c r="A502">
        <v>2007</v>
      </c>
      <c r="B502" t="s">
        <v>259</v>
      </c>
      <c r="C502">
        <v>27037</v>
      </c>
      <c r="D502" t="s">
        <v>273</v>
      </c>
      <c r="E502" t="s">
        <v>261</v>
      </c>
      <c r="F502" t="s">
        <v>270</v>
      </c>
      <c r="G502" t="s">
        <v>263</v>
      </c>
      <c r="H502">
        <v>84756.249210594993</v>
      </c>
      <c r="I502" t="s">
        <v>264</v>
      </c>
      <c r="J502" t="s">
        <v>265</v>
      </c>
      <c r="K502">
        <v>390767</v>
      </c>
      <c r="L502" t="s">
        <v>266</v>
      </c>
      <c r="M502">
        <v>0.22</v>
      </c>
    </row>
    <row r="503" spans="1:13" x14ac:dyDescent="0.25">
      <c r="A503">
        <v>2007</v>
      </c>
      <c r="B503" t="s">
        <v>259</v>
      </c>
      <c r="C503">
        <v>27037</v>
      </c>
      <c r="D503" t="s">
        <v>273</v>
      </c>
      <c r="E503" t="s">
        <v>261</v>
      </c>
      <c r="F503" t="s">
        <v>270</v>
      </c>
      <c r="G503" t="s">
        <v>267</v>
      </c>
      <c r="H503">
        <v>397161.33832368098</v>
      </c>
      <c r="I503" t="s">
        <v>264</v>
      </c>
      <c r="J503" t="s">
        <v>265</v>
      </c>
      <c r="K503">
        <v>390767</v>
      </c>
      <c r="L503" t="s">
        <v>266</v>
      </c>
      <c r="M503">
        <v>1.02</v>
      </c>
    </row>
    <row r="504" spans="1:13" x14ac:dyDescent="0.25">
      <c r="A504">
        <v>2007</v>
      </c>
      <c r="B504" t="s">
        <v>259</v>
      </c>
      <c r="C504">
        <v>27037</v>
      </c>
      <c r="D504" t="s">
        <v>273</v>
      </c>
      <c r="E504" t="s">
        <v>261</v>
      </c>
      <c r="F504" t="s">
        <v>270</v>
      </c>
      <c r="G504" t="s">
        <v>269</v>
      </c>
      <c r="H504">
        <v>2.2855435622875602</v>
      </c>
      <c r="I504" t="s">
        <v>264</v>
      </c>
      <c r="J504" t="s">
        <v>265</v>
      </c>
      <c r="K504">
        <v>390767</v>
      </c>
      <c r="L504" t="s">
        <v>266</v>
      </c>
      <c r="M504">
        <v>0</v>
      </c>
    </row>
    <row r="505" spans="1:13" x14ac:dyDescent="0.25">
      <c r="A505">
        <v>2007</v>
      </c>
      <c r="B505" t="s">
        <v>259</v>
      </c>
      <c r="C505">
        <v>27053</v>
      </c>
      <c r="D505" t="s">
        <v>274</v>
      </c>
      <c r="E505" t="s">
        <v>261</v>
      </c>
      <c r="F505" t="s">
        <v>262</v>
      </c>
      <c r="G505" t="s">
        <v>263</v>
      </c>
      <c r="H505">
        <v>3894854.35707587</v>
      </c>
      <c r="I505" t="s">
        <v>264</v>
      </c>
      <c r="J505" t="s">
        <v>265</v>
      </c>
      <c r="K505">
        <v>1126585</v>
      </c>
      <c r="L505" t="s">
        <v>266</v>
      </c>
      <c r="M505">
        <v>3.46</v>
      </c>
    </row>
    <row r="506" spans="1:13" x14ac:dyDescent="0.25">
      <c r="A506">
        <v>2007</v>
      </c>
      <c r="B506" t="s">
        <v>259</v>
      </c>
      <c r="C506">
        <v>27053</v>
      </c>
      <c r="D506" t="s">
        <v>274</v>
      </c>
      <c r="E506" t="s">
        <v>261</v>
      </c>
      <c r="F506" t="s">
        <v>262</v>
      </c>
      <c r="G506" t="s">
        <v>267</v>
      </c>
      <c r="H506">
        <v>56522.044044956099</v>
      </c>
      <c r="I506" t="s">
        <v>264</v>
      </c>
      <c r="J506" t="s">
        <v>265</v>
      </c>
      <c r="K506">
        <v>1126585</v>
      </c>
      <c r="L506" t="s">
        <v>266</v>
      </c>
      <c r="M506">
        <v>0.05</v>
      </c>
    </row>
    <row r="507" spans="1:13" x14ac:dyDescent="0.25">
      <c r="A507">
        <v>2007</v>
      </c>
      <c r="B507" t="s">
        <v>259</v>
      </c>
      <c r="C507">
        <v>27053</v>
      </c>
      <c r="D507" t="s">
        <v>274</v>
      </c>
      <c r="E507" t="s">
        <v>261</v>
      </c>
      <c r="F507" t="s">
        <v>262</v>
      </c>
      <c r="G507" t="s">
        <v>269</v>
      </c>
      <c r="H507">
        <v>0</v>
      </c>
      <c r="I507" t="s">
        <v>264</v>
      </c>
      <c r="J507" t="s">
        <v>265</v>
      </c>
      <c r="K507">
        <v>1126585</v>
      </c>
      <c r="L507" t="s">
        <v>266</v>
      </c>
      <c r="M507">
        <v>0</v>
      </c>
    </row>
    <row r="508" spans="1:13" x14ac:dyDescent="0.25">
      <c r="A508">
        <v>2007</v>
      </c>
      <c r="B508" t="s">
        <v>259</v>
      </c>
      <c r="C508">
        <v>27053</v>
      </c>
      <c r="D508" t="s">
        <v>274</v>
      </c>
      <c r="E508" t="s">
        <v>261</v>
      </c>
      <c r="F508" t="s">
        <v>268</v>
      </c>
      <c r="G508" t="s">
        <v>263</v>
      </c>
      <c r="H508">
        <v>3397.6244482222301</v>
      </c>
      <c r="I508" t="s">
        <v>264</v>
      </c>
      <c r="J508" t="s">
        <v>265</v>
      </c>
      <c r="K508">
        <v>1126585</v>
      </c>
      <c r="L508" t="s">
        <v>266</v>
      </c>
      <c r="M508">
        <v>0</v>
      </c>
    </row>
    <row r="509" spans="1:13" x14ac:dyDescent="0.25">
      <c r="A509">
        <v>2007</v>
      </c>
      <c r="B509" t="s">
        <v>259</v>
      </c>
      <c r="C509">
        <v>27053</v>
      </c>
      <c r="D509" t="s">
        <v>274</v>
      </c>
      <c r="E509" t="s">
        <v>261</v>
      </c>
      <c r="F509" t="s">
        <v>268</v>
      </c>
      <c r="G509" t="s">
        <v>267</v>
      </c>
      <c r="H509">
        <v>49048.4155574049</v>
      </c>
      <c r="I509" t="s">
        <v>264</v>
      </c>
      <c r="J509" t="s">
        <v>265</v>
      </c>
      <c r="K509">
        <v>1126585</v>
      </c>
      <c r="L509" t="s">
        <v>266</v>
      </c>
      <c r="M509">
        <v>0.04</v>
      </c>
    </row>
    <row r="510" spans="1:13" x14ac:dyDescent="0.25">
      <c r="A510">
        <v>2007</v>
      </c>
      <c r="B510" t="s">
        <v>259</v>
      </c>
      <c r="C510">
        <v>27053</v>
      </c>
      <c r="D510" t="s">
        <v>274</v>
      </c>
      <c r="E510" t="s">
        <v>261</v>
      </c>
      <c r="F510" t="s">
        <v>268</v>
      </c>
      <c r="G510" t="s">
        <v>269</v>
      </c>
      <c r="H510">
        <v>20.1449886131788</v>
      </c>
      <c r="I510" t="s">
        <v>264</v>
      </c>
      <c r="J510" t="s">
        <v>265</v>
      </c>
      <c r="K510">
        <v>1126585</v>
      </c>
      <c r="L510" t="s">
        <v>266</v>
      </c>
      <c r="M510">
        <v>0</v>
      </c>
    </row>
    <row r="511" spans="1:13" x14ac:dyDescent="0.25">
      <c r="A511">
        <v>2007</v>
      </c>
      <c r="B511" t="s">
        <v>259</v>
      </c>
      <c r="C511">
        <v>27053</v>
      </c>
      <c r="D511" t="s">
        <v>274</v>
      </c>
      <c r="E511" t="s">
        <v>261</v>
      </c>
      <c r="F511" t="s">
        <v>270</v>
      </c>
      <c r="G511" t="s">
        <v>263</v>
      </c>
      <c r="H511">
        <v>351510.40879321803</v>
      </c>
      <c r="I511" t="s">
        <v>264</v>
      </c>
      <c r="J511" t="s">
        <v>265</v>
      </c>
      <c r="K511">
        <v>1126585</v>
      </c>
      <c r="L511" t="s">
        <v>266</v>
      </c>
      <c r="M511">
        <v>0.31</v>
      </c>
    </row>
    <row r="512" spans="1:13" x14ac:dyDescent="0.25">
      <c r="A512">
        <v>2007</v>
      </c>
      <c r="B512" t="s">
        <v>259</v>
      </c>
      <c r="C512">
        <v>27053</v>
      </c>
      <c r="D512" t="s">
        <v>274</v>
      </c>
      <c r="E512" t="s">
        <v>261</v>
      </c>
      <c r="F512" t="s">
        <v>270</v>
      </c>
      <c r="G512" t="s">
        <v>267</v>
      </c>
      <c r="H512">
        <v>1034663.59142344</v>
      </c>
      <c r="I512" t="s">
        <v>264</v>
      </c>
      <c r="J512" t="s">
        <v>265</v>
      </c>
      <c r="K512">
        <v>1126585</v>
      </c>
      <c r="L512" t="s">
        <v>266</v>
      </c>
      <c r="M512">
        <v>0.92</v>
      </c>
    </row>
    <row r="513" spans="1:13" x14ac:dyDescent="0.25">
      <c r="A513">
        <v>2007</v>
      </c>
      <c r="B513" t="s">
        <v>259</v>
      </c>
      <c r="C513">
        <v>27053</v>
      </c>
      <c r="D513" t="s">
        <v>274</v>
      </c>
      <c r="E513" t="s">
        <v>261</v>
      </c>
      <c r="F513" t="s">
        <v>270</v>
      </c>
      <c r="G513" t="s">
        <v>269</v>
      </c>
      <c r="H513">
        <v>6.2585815570962797</v>
      </c>
      <c r="I513" t="s">
        <v>264</v>
      </c>
      <c r="J513" t="s">
        <v>265</v>
      </c>
      <c r="K513">
        <v>1126585</v>
      </c>
      <c r="L513" t="s">
        <v>266</v>
      </c>
      <c r="M513">
        <v>0</v>
      </c>
    </row>
    <row r="514" spans="1:13" x14ac:dyDescent="0.25">
      <c r="A514">
        <v>2007</v>
      </c>
      <c r="B514" t="s">
        <v>259</v>
      </c>
      <c r="C514">
        <v>27123</v>
      </c>
      <c r="D514" t="s">
        <v>275</v>
      </c>
      <c r="E514" t="s">
        <v>261</v>
      </c>
      <c r="F514" t="s">
        <v>262</v>
      </c>
      <c r="G514" t="s">
        <v>263</v>
      </c>
      <c r="H514">
        <v>1634102.1635440299</v>
      </c>
      <c r="I514" t="s">
        <v>264</v>
      </c>
      <c r="J514" t="s">
        <v>265</v>
      </c>
      <c r="K514">
        <v>499605</v>
      </c>
      <c r="L514" t="s">
        <v>266</v>
      </c>
      <c r="M514">
        <v>3.27</v>
      </c>
    </row>
    <row r="515" spans="1:13" x14ac:dyDescent="0.25">
      <c r="A515">
        <v>2007</v>
      </c>
      <c r="B515" t="s">
        <v>259</v>
      </c>
      <c r="C515">
        <v>27123</v>
      </c>
      <c r="D515" t="s">
        <v>275</v>
      </c>
      <c r="E515" t="s">
        <v>261</v>
      </c>
      <c r="F515" t="s">
        <v>262</v>
      </c>
      <c r="G515" t="s">
        <v>267</v>
      </c>
      <c r="H515">
        <v>21051.859470919</v>
      </c>
      <c r="I515" t="s">
        <v>264</v>
      </c>
      <c r="J515" t="s">
        <v>265</v>
      </c>
      <c r="K515">
        <v>499605</v>
      </c>
      <c r="L515" t="s">
        <v>266</v>
      </c>
      <c r="M515">
        <v>0.04</v>
      </c>
    </row>
    <row r="516" spans="1:13" x14ac:dyDescent="0.25">
      <c r="A516">
        <v>2007</v>
      </c>
      <c r="B516" t="s">
        <v>259</v>
      </c>
      <c r="C516">
        <v>27123</v>
      </c>
      <c r="D516" t="s">
        <v>275</v>
      </c>
      <c r="E516" t="s">
        <v>261</v>
      </c>
      <c r="F516" t="s">
        <v>262</v>
      </c>
      <c r="G516" t="s">
        <v>269</v>
      </c>
      <c r="H516">
        <v>0</v>
      </c>
      <c r="I516" t="s">
        <v>264</v>
      </c>
      <c r="J516" t="s">
        <v>265</v>
      </c>
      <c r="K516">
        <v>499605</v>
      </c>
      <c r="L516" t="s">
        <v>266</v>
      </c>
      <c r="M516">
        <v>0</v>
      </c>
    </row>
    <row r="517" spans="1:13" x14ac:dyDescent="0.25">
      <c r="A517">
        <v>2007</v>
      </c>
      <c r="B517" t="s">
        <v>259</v>
      </c>
      <c r="C517">
        <v>27123</v>
      </c>
      <c r="D517" t="s">
        <v>275</v>
      </c>
      <c r="E517" t="s">
        <v>261</v>
      </c>
      <c r="F517" t="s">
        <v>268</v>
      </c>
      <c r="G517" t="s">
        <v>263</v>
      </c>
      <c r="H517">
        <v>1942.3737090025199</v>
      </c>
      <c r="I517" t="s">
        <v>264</v>
      </c>
      <c r="J517" t="s">
        <v>265</v>
      </c>
      <c r="K517">
        <v>499605</v>
      </c>
      <c r="L517" t="s">
        <v>266</v>
      </c>
      <c r="M517">
        <v>0</v>
      </c>
    </row>
    <row r="518" spans="1:13" x14ac:dyDescent="0.25">
      <c r="A518">
        <v>2007</v>
      </c>
      <c r="B518" t="s">
        <v>259</v>
      </c>
      <c r="C518">
        <v>27123</v>
      </c>
      <c r="D518" t="s">
        <v>275</v>
      </c>
      <c r="E518" t="s">
        <v>261</v>
      </c>
      <c r="F518" t="s">
        <v>268</v>
      </c>
      <c r="G518" t="s">
        <v>267</v>
      </c>
      <c r="H518">
        <v>19263.809748499301</v>
      </c>
      <c r="I518" t="s">
        <v>264</v>
      </c>
      <c r="J518" t="s">
        <v>265</v>
      </c>
      <c r="K518">
        <v>499605</v>
      </c>
      <c r="L518" t="s">
        <v>266</v>
      </c>
      <c r="M518">
        <v>0.04</v>
      </c>
    </row>
    <row r="519" spans="1:13" x14ac:dyDescent="0.25">
      <c r="A519">
        <v>2007</v>
      </c>
      <c r="B519" t="s">
        <v>259</v>
      </c>
      <c r="C519">
        <v>27123</v>
      </c>
      <c r="D519" t="s">
        <v>275</v>
      </c>
      <c r="E519" t="s">
        <v>261</v>
      </c>
      <c r="F519" t="s">
        <v>268</v>
      </c>
      <c r="G519" t="s">
        <v>269</v>
      </c>
      <c r="H519">
        <v>101.72014511030601</v>
      </c>
      <c r="I519" t="s">
        <v>264</v>
      </c>
      <c r="J519" t="s">
        <v>265</v>
      </c>
      <c r="K519">
        <v>499605</v>
      </c>
      <c r="L519" t="s">
        <v>266</v>
      </c>
      <c r="M519">
        <v>0</v>
      </c>
    </row>
    <row r="520" spans="1:13" x14ac:dyDescent="0.25">
      <c r="A520">
        <v>2007</v>
      </c>
      <c r="B520" t="s">
        <v>259</v>
      </c>
      <c r="C520">
        <v>27123</v>
      </c>
      <c r="D520" t="s">
        <v>275</v>
      </c>
      <c r="E520" t="s">
        <v>261</v>
      </c>
      <c r="F520" t="s">
        <v>270</v>
      </c>
      <c r="G520" t="s">
        <v>263</v>
      </c>
      <c r="H520">
        <v>144275.309877789</v>
      </c>
      <c r="I520" t="s">
        <v>264</v>
      </c>
      <c r="J520" t="s">
        <v>265</v>
      </c>
      <c r="K520">
        <v>499605</v>
      </c>
      <c r="L520" t="s">
        <v>266</v>
      </c>
      <c r="M520">
        <v>0.28999999999999998</v>
      </c>
    </row>
    <row r="521" spans="1:13" x14ac:dyDescent="0.25">
      <c r="A521">
        <v>2007</v>
      </c>
      <c r="B521" t="s">
        <v>259</v>
      </c>
      <c r="C521">
        <v>27123</v>
      </c>
      <c r="D521" t="s">
        <v>275</v>
      </c>
      <c r="E521" t="s">
        <v>261</v>
      </c>
      <c r="F521" t="s">
        <v>270</v>
      </c>
      <c r="G521" t="s">
        <v>267</v>
      </c>
      <c r="H521">
        <v>434447.12877792399</v>
      </c>
      <c r="I521" t="s">
        <v>264</v>
      </c>
      <c r="J521" t="s">
        <v>265</v>
      </c>
      <c r="K521">
        <v>499605</v>
      </c>
      <c r="L521" t="s">
        <v>266</v>
      </c>
      <c r="M521">
        <v>0.87</v>
      </c>
    </row>
    <row r="522" spans="1:13" x14ac:dyDescent="0.25">
      <c r="A522">
        <v>2007</v>
      </c>
      <c r="B522" t="s">
        <v>259</v>
      </c>
      <c r="C522">
        <v>27123</v>
      </c>
      <c r="D522" t="s">
        <v>275</v>
      </c>
      <c r="E522" t="s">
        <v>261</v>
      </c>
      <c r="F522" t="s">
        <v>270</v>
      </c>
      <c r="G522" t="s">
        <v>269</v>
      </c>
      <c r="H522">
        <v>5.3359453748392696</v>
      </c>
      <c r="I522" t="s">
        <v>264</v>
      </c>
      <c r="J522" t="s">
        <v>265</v>
      </c>
      <c r="K522">
        <v>499605</v>
      </c>
      <c r="L522" t="s">
        <v>266</v>
      </c>
      <c r="M522">
        <v>0</v>
      </c>
    </row>
    <row r="523" spans="1:13" x14ac:dyDescent="0.25">
      <c r="A523">
        <v>2007</v>
      </c>
      <c r="B523" t="s">
        <v>259</v>
      </c>
      <c r="C523">
        <v>27139</v>
      </c>
      <c r="D523" t="s">
        <v>276</v>
      </c>
      <c r="E523" t="s">
        <v>261</v>
      </c>
      <c r="F523" t="s">
        <v>262</v>
      </c>
      <c r="G523" t="s">
        <v>263</v>
      </c>
      <c r="H523">
        <v>494130.02931923699</v>
      </c>
      <c r="I523" t="s">
        <v>264</v>
      </c>
      <c r="J523" t="s">
        <v>265</v>
      </c>
      <c r="K523">
        <v>124050</v>
      </c>
      <c r="L523" t="s">
        <v>266</v>
      </c>
      <c r="M523">
        <v>3.98</v>
      </c>
    </row>
    <row r="524" spans="1:13" x14ac:dyDescent="0.25">
      <c r="A524">
        <v>2007</v>
      </c>
      <c r="B524" t="s">
        <v>259</v>
      </c>
      <c r="C524">
        <v>27139</v>
      </c>
      <c r="D524" t="s">
        <v>276</v>
      </c>
      <c r="E524" t="s">
        <v>261</v>
      </c>
      <c r="F524" t="s">
        <v>262</v>
      </c>
      <c r="G524" t="s">
        <v>267</v>
      </c>
      <c r="H524">
        <v>20134.778905282601</v>
      </c>
      <c r="I524" t="s">
        <v>264</v>
      </c>
      <c r="J524" t="s">
        <v>265</v>
      </c>
      <c r="K524">
        <v>124050</v>
      </c>
      <c r="L524" t="s">
        <v>266</v>
      </c>
      <c r="M524">
        <v>0.16</v>
      </c>
    </row>
    <row r="525" spans="1:13" x14ac:dyDescent="0.25">
      <c r="A525">
        <v>2007</v>
      </c>
      <c r="B525" t="s">
        <v>259</v>
      </c>
      <c r="C525">
        <v>27139</v>
      </c>
      <c r="D525" t="s">
        <v>276</v>
      </c>
      <c r="E525" t="s">
        <v>261</v>
      </c>
      <c r="F525" t="s">
        <v>262</v>
      </c>
      <c r="G525" t="s">
        <v>269</v>
      </c>
      <c r="H525">
        <v>0</v>
      </c>
      <c r="I525" t="s">
        <v>264</v>
      </c>
      <c r="J525" t="s">
        <v>265</v>
      </c>
      <c r="K525">
        <v>124050</v>
      </c>
      <c r="L525" t="s">
        <v>266</v>
      </c>
      <c r="M525">
        <v>0</v>
      </c>
    </row>
    <row r="526" spans="1:13" x14ac:dyDescent="0.25">
      <c r="A526">
        <v>2007</v>
      </c>
      <c r="B526" t="s">
        <v>259</v>
      </c>
      <c r="C526">
        <v>27139</v>
      </c>
      <c r="D526" t="s">
        <v>276</v>
      </c>
      <c r="E526" t="s">
        <v>261</v>
      </c>
      <c r="F526" t="s">
        <v>268</v>
      </c>
      <c r="G526" t="s">
        <v>263</v>
      </c>
      <c r="H526">
        <v>287.81939064989098</v>
      </c>
      <c r="I526" t="s">
        <v>264</v>
      </c>
      <c r="J526" t="s">
        <v>265</v>
      </c>
      <c r="K526">
        <v>124050</v>
      </c>
      <c r="L526" t="s">
        <v>266</v>
      </c>
      <c r="M526">
        <v>0</v>
      </c>
    </row>
    <row r="527" spans="1:13" x14ac:dyDescent="0.25">
      <c r="A527">
        <v>2007</v>
      </c>
      <c r="B527" t="s">
        <v>259</v>
      </c>
      <c r="C527">
        <v>27139</v>
      </c>
      <c r="D527" t="s">
        <v>276</v>
      </c>
      <c r="E527" t="s">
        <v>261</v>
      </c>
      <c r="F527" t="s">
        <v>268</v>
      </c>
      <c r="G527" t="s">
        <v>267</v>
      </c>
      <c r="H527">
        <v>5932.1934740243996</v>
      </c>
      <c r="I527" t="s">
        <v>264</v>
      </c>
      <c r="J527" t="s">
        <v>265</v>
      </c>
      <c r="K527">
        <v>124050</v>
      </c>
      <c r="L527" t="s">
        <v>266</v>
      </c>
      <c r="M527">
        <v>0.05</v>
      </c>
    </row>
    <row r="528" spans="1:13" x14ac:dyDescent="0.25">
      <c r="A528">
        <v>2007</v>
      </c>
      <c r="B528" t="s">
        <v>259</v>
      </c>
      <c r="C528">
        <v>27139</v>
      </c>
      <c r="D528" t="s">
        <v>276</v>
      </c>
      <c r="E528" t="s">
        <v>261</v>
      </c>
      <c r="F528" t="s">
        <v>268</v>
      </c>
      <c r="G528" t="s">
        <v>269</v>
      </c>
      <c r="H528">
        <v>86.485585359006905</v>
      </c>
      <c r="I528" t="s">
        <v>264</v>
      </c>
      <c r="J528" t="s">
        <v>265</v>
      </c>
      <c r="K528">
        <v>124050</v>
      </c>
      <c r="L528" t="s">
        <v>266</v>
      </c>
      <c r="M528">
        <v>0</v>
      </c>
    </row>
    <row r="529" spans="1:13" x14ac:dyDescent="0.25">
      <c r="A529">
        <v>2007</v>
      </c>
      <c r="B529" t="s">
        <v>259</v>
      </c>
      <c r="C529">
        <v>27139</v>
      </c>
      <c r="D529" t="s">
        <v>276</v>
      </c>
      <c r="E529" t="s">
        <v>261</v>
      </c>
      <c r="F529" t="s">
        <v>270</v>
      </c>
      <c r="G529" t="s">
        <v>263</v>
      </c>
      <c r="H529">
        <v>28861.287792356601</v>
      </c>
      <c r="I529" t="s">
        <v>264</v>
      </c>
      <c r="J529" t="s">
        <v>265</v>
      </c>
      <c r="K529">
        <v>124050</v>
      </c>
      <c r="L529" t="s">
        <v>266</v>
      </c>
      <c r="M529">
        <v>0.23</v>
      </c>
    </row>
    <row r="530" spans="1:13" x14ac:dyDescent="0.25">
      <c r="A530">
        <v>2007</v>
      </c>
      <c r="B530" t="s">
        <v>259</v>
      </c>
      <c r="C530">
        <v>27139</v>
      </c>
      <c r="D530" t="s">
        <v>276</v>
      </c>
      <c r="E530" t="s">
        <v>261</v>
      </c>
      <c r="F530" t="s">
        <v>270</v>
      </c>
      <c r="G530" t="s">
        <v>267</v>
      </c>
      <c r="H530">
        <v>130387.899864757</v>
      </c>
      <c r="I530" t="s">
        <v>264</v>
      </c>
      <c r="J530" t="s">
        <v>265</v>
      </c>
      <c r="K530">
        <v>124050</v>
      </c>
      <c r="L530" t="s">
        <v>266</v>
      </c>
      <c r="M530">
        <v>1.05</v>
      </c>
    </row>
    <row r="531" spans="1:13" x14ac:dyDescent="0.25">
      <c r="A531">
        <v>2007</v>
      </c>
      <c r="B531" t="s">
        <v>259</v>
      </c>
      <c r="C531">
        <v>27139</v>
      </c>
      <c r="D531" t="s">
        <v>276</v>
      </c>
      <c r="E531" t="s">
        <v>261</v>
      </c>
      <c r="F531" t="s">
        <v>270</v>
      </c>
      <c r="G531" t="s">
        <v>269</v>
      </c>
      <c r="H531">
        <v>0.68985753673551997</v>
      </c>
      <c r="I531" t="s">
        <v>264</v>
      </c>
      <c r="J531" t="s">
        <v>265</v>
      </c>
      <c r="K531">
        <v>124050</v>
      </c>
      <c r="L531" t="s">
        <v>266</v>
      </c>
      <c r="M531">
        <v>0</v>
      </c>
    </row>
    <row r="532" spans="1:13" x14ac:dyDescent="0.25">
      <c r="A532">
        <v>2007</v>
      </c>
      <c r="B532" t="s">
        <v>259</v>
      </c>
      <c r="C532">
        <v>27141</v>
      </c>
      <c r="D532" t="s">
        <v>277</v>
      </c>
      <c r="E532" t="s">
        <v>261</v>
      </c>
      <c r="F532" t="s">
        <v>262</v>
      </c>
      <c r="G532" t="s">
        <v>263</v>
      </c>
      <c r="H532">
        <v>329816.311837157</v>
      </c>
      <c r="I532" t="s">
        <v>264</v>
      </c>
      <c r="J532" t="s">
        <v>265</v>
      </c>
      <c r="K532">
        <v>85968</v>
      </c>
      <c r="L532" t="s">
        <v>266</v>
      </c>
      <c r="M532">
        <v>3.84</v>
      </c>
    </row>
    <row r="533" spans="1:13" x14ac:dyDescent="0.25">
      <c r="A533">
        <v>2007</v>
      </c>
      <c r="B533" t="s">
        <v>259</v>
      </c>
      <c r="C533">
        <v>27141</v>
      </c>
      <c r="D533" t="s">
        <v>277</v>
      </c>
      <c r="E533" t="s">
        <v>261</v>
      </c>
      <c r="F533" t="s">
        <v>262</v>
      </c>
      <c r="G533" t="s">
        <v>267</v>
      </c>
      <c r="H533">
        <v>18705.232725753602</v>
      </c>
      <c r="I533" t="s">
        <v>264</v>
      </c>
      <c r="J533" t="s">
        <v>265</v>
      </c>
      <c r="K533">
        <v>85968</v>
      </c>
      <c r="L533" t="s">
        <v>266</v>
      </c>
      <c r="M533">
        <v>0.22</v>
      </c>
    </row>
    <row r="534" spans="1:13" x14ac:dyDescent="0.25">
      <c r="A534">
        <v>2007</v>
      </c>
      <c r="B534" t="s">
        <v>259</v>
      </c>
      <c r="C534">
        <v>27141</v>
      </c>
      <c r="D534" t="s">
        <v>277</v>
      </c>
      <c r="E534" t="s">
        <v>261</v>
      </c>
      <c r="F534" t="s">
        <v>262</v>
      </c>
      <c r="G534" t="s">
        <v>269</v>
      </c>
      <c r="H534">
        <v>0</v>
      </c>
      <c r="I534" t="s">
        <v>264</v>
      </c>
      <c r="J534" t="s">
        <v>265</v>
      </c>
      <c r="K534">
        <v>85968</v>
      </c>
      <c r="L534" t="s">
        <v>266</v>
      </c>
      <c r="M534">
        <v>0</v>
      </c>
    </row>
    <row r="535" spans="1:13" x14ac:dyDescent="0.25">
      <c r="A535">
        <v>2007</v>
      </c>
      <c r="B535" t="s">
        <v>259</v>
      </c>
      <c r="C535">
        <v>27141</v>
      </c>
      <c r="D535" t="s">
        <v>277</v>
      </c>
      <c r="E535" t="s">
        <v>261</v>
      </c>
      <c r="F535" t="s">
        <v>268</v>
      </c>
      <c r="G535" t="s">
        <v>263</v>
      </c>
      <c r="H535">
        <v>257.62897525977598</v>
      </c>
      <c r="I535" t="s">
        <v>264</v>
      </c>
      <c r="J535" t="s">
        <v>265</v>
      </c>
      <c r="K535">
        <v>85968</v>
      </c>
      <c r="L535" t="s">
        <v>266</v>
      </c>
      <c r="M535">
        <v>0</v>
      </c>
    </row>
    <row r="536" spans="1:13" x14ac:dyDescent="0.25">
      <c r="A536">
        <v>2007</v>
      </c>
      <c r="B536" t="s">
        <v>259</v>
      </c>
      <c r="C536">
        <v>27141</v>
      </c>
      <c r="D536" t="s">
        <v>277</v>
      </c>
      <c r="E536" t="s">
        <v>261</v>
      </c>
      <c r="F536" t="s">
        <v>268</v>
      </c>
      <c r="G536" t="s">
        <v>267</v>
      </c>
      <c r="H536">
        <v>3761.18005805646</v>
      </c>
      <c r="I536" t="s">
        <v>264</v>
      </c>
      <c r="J536" t="s">
        <v>265</v>
      </c>
      <c r="K536">
        <v>85968</v>
      </c>
      <c r="L536" t="s">
        <v>266</v>
      </c>
      <c r="M536">
        <v>0.04</v>
      </c>
    </row>
    <row r="537" spans="1:13" x14ac:dyDescent="0.25">
      <c r="A537">
        <v>2007</v>
      </c>
      <c r="B537" t="s">
        <v>259</v>
      </c>
      <c r="C537">
        <v>27141</v>
      </c>
      <c r="D537" t="s">
        <v>277</v>
      </c>
      <c r="E537" t="s">
        <v>261</v>
      </c>
      <c r="F537" t="s">
        <v>268</v>
      </c>
      <c r="G537" t="s">
        <v>269</v>
      </c>
      <c r="H537">
        <v>57.3553160926757</v>
      </c>
      <c r="I537" t="s">
        <v>264</v>
      </c>
      <c r="J537" t="s">
        <v>265</v>
      </c>
      <c r="K537">
        <v>85968</v>
      </c>
      <c r="L537" t="s">
        <v>266</v>
      </c>
      <c r="M537">
        <v>0</v>
      </c>
    </row>
    <row r="538" spans="1:13" x14ac:dyDescent="0.25">
      <c r="A538">
        <v>2007</v>
      </c>
      <c r="B538" t="s">
        <v>259</v>
      </c>
      <c r="C538">
        <v>27141</v>
      </c>
      <c r="D538" t="s">
        <v>277</v>
      </c>
      <c r="E538" t="s">
        <v>261</v>
      </c>
      <c r="F538" t="s">
        <v>270</v>
      </c>
      <c r="G538" t="s">
        <v>263</v>
      </c>
      <c r="H538">
        <v>18376.8520642207</v>
      </c>
      <c r="I538" t="s">
        <v>264</v>
      </c>
      <c r="J538" t="s">
        <v>265</v>
      </c>
      <c r="K538">
        <v>85968</v>
      </c>
      <c r="L538" t="s">
        <v>266</v>
      </c>
      <c r="M538">
        <v>0.21</v>
      </c>
    </row>
    <row r="539" spans="1:13" x14ac:dyDescent="0.25">
      <c r="A539">
        <v>2007</v>
      </c>
      <c r="B539" t="s">
        <v>259</v>
      </c>
      <c r="C539">
        <v>27141</v>
      </c>
      <c r="D539" t="s">
        <v>277</v>
      </c>
      <c r="E539" t="s">
        <v>261</v>
      </c>
      <c r="F539" t="s">
        <v>270</v>
      </c>
      <c r="G539" t="s">
        <v>267</v>
      </c>
      <c r="H539">
        <v>87268.385950268901</v>
      </c>
      <c r="I539" t="s">
        <v>264</v>
      </c>
      <c r="J539" t="s">
        <v>265</v>
      </c>
      <c r="K539">
        <v>85968</v>
      </c>
      <c r="L539" t="s">
        <v>266</v>
      </c>
      <c r="M539">
        <v>1.02</v>
      </c>
    </row>
    <row r="540" spans="1:13" x14ac:dyDescent="0.25">
      <c r="A540">
        <v>2007</v>
      </c>
      <c r="B540" t="s">
        <v>259</v>
      </c>
      <c r="C540">
        <v>27141</v>
      </c>
      <c r="D540" t="s">
        <v>277</v>
      </c>
      <c r="E540" t="s">
        <v>261</v>
      </c>
      <c r="F540" t="s">
        <v>270</v>
      </c>
      <c r="G540" t="s">
        <v>269</v>
      </c>
      <c r="H540">
        <v>0.45805496798956002</v>
      </c>
      <c r="I540" t="s">
        <v>264</v>
      </c>
      <c r="J540" t="s">
        <v>265</v>
      </c>
      <c r="K540">
        <v>85968</v>
      </c>
      <c r="L540" t="s">
        <v>266</v>
      </c>
      <c r="M540">
        <v>0</v>
      </c>
    </row>
    <row r="541" spans="1:13" x14ac:dyDescent="0.25">
      <c r="A541">
        <v>2007</v>
      </c>
      <c r="B541" t="s">
        <v>259</v>
      </c>
      <c r="C541">
        <v>27163</v>
      </c>
      <c r="D541" t="s">
        <v>278</v>
      </c>
      <c r="E541" t="s">
        <v>261</v>
      </c>
      <c r="F541" t="s">
        <v>262</v>
      </c>
      <c r="G541" t="s">
        <v>263</v>
      </c>
      <c r="H541">
        <v>867237.76850535104</v>
      </c>
      <c r="I541" t="s">
        <v>264</v>
      </c>
      <c r="J541" t="s">
        <v>265</v>
      </c>
      <c r="K541">
        <v>229756</v>
      </c>
      <c r="L541" t="s">
        <v>266</v>
      </c>
      <c r="M541">
        <v>3.77</v>
      </c>
    </row>
    <row r="542" spans="1:13" x14ac:dyDescent="0.25">
      <c r="A542">
        <v>2007</v>
      </c>
      <c r="B542" t="s">
        <v>259</v>
      </c>
      <c r="C542">
        <v>27163</v>
      </c>
      <c r="D542" t="s">
        <v>278</v>
      </c>
      <c r="E542" t="s">
        <v>261</v>
      </c>
      <c r="F542" t="s">
        <v>262</v>
      </c>
      <c r="G542" t="s">
        <v>267</v>
      </c>
      <c r="H542">
        <v>28169.739231552401</v>
      </c>
      <c r="I542" t="s">
        <v>264</v>
      </c>
      <c r="J542" t="s">
        <v>265</v>
      </c>
      <c r="K542">
        <v>229756</v>
      </c>
      <c r="L542" t="s">
        <v>266</v>
      </c>
      <c r="M542">
        <v>0.12</v>
      </c>
    </row>
    <row r="543" spans="1:13" x14ac:dyDescent="0.25">
      <c r="A543">
        <v>2007</v>
      </c>
      <c r="B543" t="s">
        <v>259</v>
      </c>
      <c r="C543">
        <v>27163</v>
      </c>
      <c r="D543" t="s">
        <v>278</v>
      </c>
      <c r="E543" t="s">
        <v>261</v>
      </c>
      <c r="F543" t="s">
        <v>262</v>
      </c>
      <c r="G543" t="s">
        <v>269</v>
      </c>
      <c r="H543">
        <v>0</v>
      </c>
      <c r="I543" t="s">
        <v>264</v>
      </c>
      <c r="J543" t="s">
        <v>265</v>
      </c>
      <c r="K543">
        <v>229756</v>
      </c>
      <c r="L543" t="s">
        <v>266</v>
      </c>
      <c r="M543">
        <v>0</v>
      </c>
    </row>
    <row r="544" spans="1:13" x14ac:dyDescent="0.25">
      <c r="A544">
        <v>2007</v>
      </c>
      <c r="B544" t="s">
        <v>259</v>
      </c>
      <c r="C544">
        <v>27163</v>
      </c>
      <c r="D544" t="s">
        <v>278</v>
      </c>
      <c r="E544" t="s">
        <v>261</v>
      </c>
      <c r="F544" t="s">
        <v>268</v>
      </c>
      <c r="G544" t="s">
        <v>263</v>
      </c>
      <c r="H544">
        <v>576.41781711069996</v>
      </c>
      <c r="I544" t="s">
        <v>264</v>
      </c>
      <c r="J544" t="s">
        <v>265</v>
      </c>
      <c r="K544">
        <v>229756</v>
      </c>
      <c r="L544" t="s">
        <v>266</v>
      </c>
      <c r="M544">
        <v>0</v>
      </c>
    </row>
    <row r="545" spans="1:13" x14ac:dyDescent="0.25">
      <c r="A545">
        <v>2007</v>
      </c>
      <c r="B545" t="s">
        <v>259</v>
      </c>
      <c r="C545">
        <v>27163</v>
      </c>
      <c r="D545" t="s">
        <v>278</v>
      </c>
      <c r="E545" t="s">
        <v>261</v>
      </c>
      <c r="F545" t="s">
        <v>268</v>
      </c>
      <c r="G545" t="s">
        <v>267</v>
      </c>
      <c r="H545">
        <v>10318.9838406005</v>
      </c>
      <c r="I545" t="s">
        <v>264</v>
      </c>
      <c r="J545" t="s">
        <v>265</v>
      </c>
      <c r="K545">
        <v>229756</v>
      </c>
      <c r="L545" t="s">
        <v>266</v>
      </c>
      <c r="M545">
        <v>0.04</v>
      </c>
    </row>
    <row r="546" spans="1:13" x14ac:dyDescent="0.25">
      <c r="A546">
        <v>2007</v>
      </c>
      <c r="B546" t="s">
        <v>259</v>
      </c>
      <c r="C546">
        <v>27163</v>
      </c>
      <c r="D546" t="s">
        <v>278</v>
      </c>
      <c r="E546" t="s">
        <v>261</v>
      </c>
      <c r="F546" t="s">
        <v>268</v>
      </c>
      <c r="G546" t="s">
        <v>269</v>
      </c>
      <c r="H546">
        <v>215.618163585362</v>
      </c>
      <c r="I546" t="s">
        <v>264</v>
      </c>
      <c r="J546" t="s">
        <v>265</v>
      </c>
      <c r="K546">
        <v>229756</v>
      </c>
      <c r="L546" t="s">
        <v>266</v>
      </c>
      <c r="M546">
        <v>0</v>
      </c>
    </row>
    <row r="547" spans="1:13" x14ac:dyDescent="0.25">
      <c r="A547">
        <v>2007</v>
      </c>
      <c r="B547" t="s">
        <v>259</v>
      </c>
      <c r="C547">
        <v>27163</v>
      </c>
      <c r="D547" t="s">
        <v>278</v>
      </c>
      <c r="E547" t="s">
        <v>261</v>
      </c>
      <c r="F547" t="s">
        <v>270</v>
      </c>
      <c r="G547" t="s">
        <v>263</v>
      </c>
      <c r="H547">
        <v>40585.626817017001</v>
      </c>
      <c r="I547" t="s">
        <v>264</v>
      </c>
      <c r="J547" t="s">
        <v>265</v>
      </c>
      <c r="K547">
        <v>229756</v>
      </c>
      <c r="L547" t="s">
        <v>266</v>
      </c>
      <c r="M547">
        <v>0.18</v>
      </c>
    </row>
    <row r="548" spans="1:13" x14ac:dyDescent="0.25">
      <c r="A548">
        <v>2007</v>
      </c>
      <c r="B548" t="s">
        <v>259</v>
      </c>
      <c r="C548">
        <v>27163</v>
      </c>
      <c r="D548" t="s">
        <v>278</v>
      </c>
      <c r="E548" t="s">
        <v>261</v>
      </c>
      <c r="F548" t="s">
        <v>270</v>
      </c>
      <c r="G548" t="s">
        <v>267</v>
      </c>
      <c r="H548">
        <v>231290.73097082801</v>
      </c>
      <c r="I548" t="s">
        <v>264</v>
      </c>
      <c r="J548" t="s">
        <v>265</v>
      </c>
      <c r="K548">
        <v>229756</v>
      </c>
      <c r="L548" t="s">
        <v>266</v>
      </c>
      <c r="M548">
        <v>1.01</v>
      </c>
    </row>
    <row r="549" spans="1:13" x14ac:dyDescent="0.25">
      <c r="A549">
        <v>2007</v>
      </c>
      <c r="B549" t="s">
        <v>259</v>
      </c>
      <c r="C549">
        <v>27163</v>
      </c>
      <c r="D549" t="s">
        <v>278</v>
      </c>
      <c r="E549" t="s">
        <v>261</v>
      </c>
      <c r="F549" t="s">
        <v>270</v>
      </c>
      <c r="G549" t="s">
        <v>269</v>
      </c>
      <c r="H549">
        <v>1.40599106792283</v>
      </c>
      <c r="I549" t="s">
        <v>264</v>
      </c>
      <c r="J549" t="s">
        <v>265</v>
      </c>
      <c r="K549">
        <v>229756</v>
      </c>
      <c r="L549" t="s">
        <v>266</v>
      </c>
      <c r="M549">
        <v>0</v>
      </c>
    </row>
    <row r="550" spans="1:13" x14ac:dyDescent="0.25">
      <c r="A550">
        <v>2007</v>
      </c>
      <c r="B550" t="s">
        <v>259</v>
      </c>
      <c r="C550">
        <v>55093</v>
      </c>
      <c r="D550" t="s">
        <v>279</v>
      </c>
      <c r="E550" t="s">
        <v>261</v>
      </c>
      <c r="F550" t="s">
        <v>262</v>
      </c>
      <c r="G550" t="s">
        <v>263</v>
      </c>
      <c r="H550">
        <v>133018.29229825101</v>
      </c>
      <c r="I550" t="s">
        <v>264</v>
      </c>
      <c r="J550" t="s">
        <v>265</v>
      </c>
      <c r="K550">
        <v>40238</v>
      </c>
      <c r="L550" t="s">
        <v>266</v>
      </c>
      <c r="M550">
        <v>3.31</v>
      </c>
    </row>
    <row r="551" spans="1:13" x14ac:dyDescent="0.25">
      <c r="A551">
        <v>2007</v>
      </c>
      <c r="B551" t="s">
        <v>259</v>
      </c>
      <c r="C551">
        <v>55093</v>
      </c>
      <c r="D551" t="s">
        <v>279</v>
      </c>
      <c r="E551" t="s">
        <v>261</v>
      </c>
      <c r="F551" t="s">
        <v>262</v>
      </c>
      <c r="G551" t="s">
        <v>267</v>
      </c>
      <c r="H551">
        <v>8326.3183050775006</v>
      </c>
      <c r="I551" t="s">
        <v>264</v>
      </c>
      <c r="J551" t="s">
        <v>265</v>
      </c>
      <c r="K551">
        <v>40238</v>
      </c>
      <c r="L551" t="s">
        <v>266</v>
      </c>
      <c r="M551">
        <v>0.21</v>
      </c>
    </row>
    <row r="552" spans="1:13" x14ac:dyDescent="0.25">
      <c r="A552">
        <v>2007</v>
      </c>
      <c r="B552" t="s">
        <v>259</v>
      </c>
      <c r="C552">
        <v>55093</v>
      </c>
      <c r="D552" t="s">
        <v>279</v>
      </c>
      <c r="E552" t="s">
        <v>261</v>
      </c>
      <c r="F552" t="s">
        <v>262</v>
      </c>
      <c r="G552" t="s">
        <v>269</v>
      </c>
      <c r="H552">
        <v>0</v>
      </c>
      <c r="I552" t="s">
        <v>264</v>
      </c>
      <c r="J552" t="s">
        <v>265</v>
      </c>
      <c r="K552">
        <v>40238</v>
      </c>
      <c r="L552" t="s">
        <v>266</v>
      </c>
      <c r="M552">
        <v>0</v>
      </c>
    </row>
    <row r="553" spans="1:13" x14ac:dyDescent="0.25">
      <c r="A553">
        <v>2007</v>
      </c>
      <c r="B553" t="s">
        <v>259</v>
      </c>
      <c r="C553">
        <v>55093</v>
      </c>
      <c r="D553" t="s">
        <v>279</v>
      </c>
      <c r="E553" t="s">
        <v>261</v>
      </c>
      <c r="F553" t="s">
        <v>268</v>
      </c>
      <c r="G553" t="s">
        <v>263</v>
      </c>
      <c r="H553">
        <v>128.879763095822</v>
      </c>
      <c r="I553" t="s">
        <v>264</v>
      </c>
      <c r="J553" t="s">
        <v>265</v>
      </c>
      <c r="K553">
        <v>40238</v>
      </c>
      <c r="L553" t="s">
        <v>266</v>
      </c>
      <c r="M553">
        <v>0</v>
      </c>
    </row>
    <row r="554" spans="1:13" x14ac:dyDescent="0.25">
      <c r="A554">
        <v>2007</v>
      </c>
      <c r="B554" t="s">
        <v>259</v>
      </c>
      <c r="C554">
        <v>55093</v>
      </c>
      <c r="D554" t="s">
        <v>279</v>
      </c>
      <c r="E554" t="s">
        <v>261</v>
      </c>
      <c r="F554" t="s">
        <v>268</v>
      </c>
      <c r="G554" t="s">
        <v>267</v>
      </c>
      <c r="H554">
        <v>2056.8504482302801</v>
      </c>
      <c r="I554" t="s">
        <v>264</v>
      </c>
      <c r="J554" t="s">
        <v>265</v>
      </c>
      <c r="K554">
        <v>40238</v>
      </c>
      <c r="L554" t="s">
        <v>266</v>
      </c>
      <c r="M554">
        <v>0.05</v>
      </c>
    </row>
    <row r="555" spans="1:13" x14ac:dyDescent="0.25">
      <c r="A555">
        <v>2007</v>
      </c>
      <c r="B555" t="s">
        <v>259</v>
      </c>
      <c r="C555">
        <v>55093</v>
      </c>
      <c r="D555" t="s">
        <v>279</v>
      </c>
      <c r="E555" t="s">
        <v>261</v>
      </c>
      <c r="F555" t="s">
        <v>268</v>
      </c>
      <c r="G555" t="s">
        <v>269</v>
      </c>
      <c r="H555">
        <v>43.791703092549703</v>
      </c>
      <c r="I555" t="s">
        <v>264</v>
      </c>
      <c r="J555" t="s">
        <v>265</v>
      </c>
      <c r="K555">
        <v>40238</v>
      </c>
      <c r="L555" t="s">
        <v>266</v>
      </c>
      <c r="M555">
        <v>0</v>
      </c>
    </row>
    <row r="556" spans="1:13" x14ac:dyDescent="0.25">
      <c r="A556">
        <v>2007</v>
      </c>
      <c r="B556" t="s">
        <v>259</v>
      </c>
      <c r="C556">
        <v>55093</v>
      </c>
      <c r="D556" t="s">
        <v>279</v>
      </c>
      <c r="E556" t="s">
        <v>261</v>
      </c>
      <c r="F556" t="s">
        <v>270</v>
      </c>
      <c r="G556" t="s">
        <v>263</v>
      </c>
      <c r="H556">
        <v>7466.5063595390602</v>
      </c>
      <c r="I556" t="s">
        <v>264</v>
      </c>
      <c r="J556" t="s">
        <v>265</v>
      </c>
      <c r="K556">
        <v>40238</v>
      </c>
      <c r="L556" t="s">
        <v>266</v>
      </c>
      <c r="M556">
        <v>0.19</v>
      </c>
    </row>
    <row r="557" spans="1:13" x14ac:dyDescent="0.25">
      <c r="A557">
        <v>2007</v>
      </c>
      <c r="B557" t="s">
        <v>259</v>
      </c>
      <c r="C557">
        <v>55093</v>
      </c>
      <c r="D557" t="s">
        <v>279</v>
      </c>
      <c r="E557" t="s">
        <v>261</v>
      </c>
      <c r="F557" t="s">
        <v>270</v>
      </c>
      <c r="G557" t="s">
        <v>267</v>
      </c>
      <c r="H557">
        <v>19845.7809702214</v>
      </c>
      <c r="I557" t="s">
        <v>264</v>
      </c>
      <c r="J557" t="s">
        <v>265</v>
      </c>
      <c r="K557">
        <v>40238</v>
      </c>
      <c r="L557" t="s">
        <v>266</v>
      </c>
      <c r="M557">
        <v>0.49</v>
      </c>
    </row>
    <row r="558" spans="1:13" x14ac:dyDescent="0.25">
      <c r="A558">
        <v>2007</v>
      </c>
      <c r="B558" t="s">
        <v>259</v>
      </c>
      <c r="C558">
        <v>55093</v>
      </c>
      <c r="D558" t="s">
        <v>279</v>
      </c>
      <c r="E558" t="s">
        <v>261</v>
      </c>
      <c r="F558" t="s">
        <v>270</v>
      </c>
      <c r="G558" t="s">
        <v>269</v>
      </c>
      <c r="H558">
        <v>0.518774032755276</v>
      </c>
      <c r="I558" t="s">
        <v>264</v>
      </c>
      <c r="J558" t="s">
        <v>265</v>
      </c>
      <c r="K558">
        <v>40238</v>
      </c>
      <c r="L558" t="s">
        <v>266</v>
      </c>
      <c r="M558">
        <v>0</v>
      </c>
    </row>
    <row r="559" spans="1:13" x14ac:dyDescent="0.25">
      <c r="A559">
        <v>2007</v>
      </c>
      <c r="B559" t="s">
        <v>259</v>
      </c>
      <c r="C559">
        <v>55109</v>
      </c>
      <c r="D559" t="s">
        <v>280</v>
      </c>
      <c r="E559" t="s">
        <v>261</v>
      </c>
      <c r="F559" t="s">
        <v>262</v>
      </c>
      <c r="G559" t="s">
        <v>263</v>
      </c>
      <c r="H559">
        <v>421882.83125304402</v>
      </c>
      <c r="I559" t="s">
        <v>264</v>
      </c>
      <c r="J559" t="s">
        <v>265</v>
      </c>
      <c r="K559">
        <v>81708</v>
      </c>
      <c r="L559" t="s">
        <v>266</v>
      </c>
      <c r="M559">
        <v>5.16</v>
      </c>
    </row>
    <row r="560" spans="1:13" x14ac:dyDescent="0.25">
      <c r="A560">
        <v>2007</v>
      </c>
      <c r="B560" t="s">
        <v>259</v>
      </c>
      <c r="C560">
        <v>55109</v>
      </c>
      <c r="D560" t="s">
        <v>280</v>
      </c>
      <c r="E560" t="s">
        <v>261</v>
      </c>
      <c r="F560" t="s">
        <v>262</v>
      </c>
      <c r="G560" t="s">
        <v>267</v>
      </c>
      <c r="H560">
        <v>25683.0702465457</v>
      </c>
      <c r="I560" t="s">
        <v>264</v>
      </c>
      <c r="J560" t="s">
        <v>265</v>
      </c>
      <c r="K560">
        <v>81708</v>
      </c>
      <c r="L560" t="s">
        <v>266</v>
      </c>
      <c r="M560">
        <v>0.31</v>
      </c>
    </row>
    <row r="561" spans="1:13" x14ac:dyDescent="0.25">
      <c r="A561">
        <v>2007</v>
      </c>
      <c r="B561" t="s">
        <v>259</v>
      </c>
      <c r="C561">
        <v>55109</v>
      </c>
      <c r="D561" t="s">
        <v>280</v>
      </c>
      <c r="E561" t="s">
        <v>261</v>
      </c>
      <c r="F561" t="s">
        <v>262</v>
      </c>
      <c r="G561" t="s">
        <v>269</v>
      </c>
      <c r="H561">
        <v>0</v>
      </c>
      <c r="I561" t="s">
        <v>264</v>
      </c>
      <c r="J561" t="s">
        <v>265</v>
      </c>
      <c r="K561">
        <v>81708</v>
      </c>
      <c r="L561" t="s">
        <v>266</v>
      </c>
      <c r="M561">
        <v>0</v>
      </c>
    </row>
    <row r="562" spans="1:13" x14ac:dyDescent="0.25">
      <c r="A562">
        <v>2007</v>
      </c>
      <c r="B562" t="s">
        <v>259</v>
      </c>
      <c r="C562">
        <v>55109</v>
      </c>
      <c r="D562" t="s">
        <v>280</v>
      </c>
      <c r="E562" t="s">
        <v>261</v>
      </c>
      <c r="F562" t="s">
        <v>268</v>
      </c>
      <c r="G562" t="s">
        <v>263</v>
      </c>
      <c r="H562">
        <v>314.01873349696899</v>
      </c>
      <c r="I562" t="s">
        <v>264</v>
      </c>
      <c r="J562" t="s">
        <v>265</v>
      </c>
      <c r="K562">
        <v>81708</v>
      </c>
      <c r="L562" t="s">
        <v>266</v>
      </c>
      <c r="M562">
        <v>0</v>
      </c>
    </row>
    <row r="563" spans="1:13" x14ac:dyDescent="0.25">
      <c r="A563">
        <v>2007</v>
      </c>
      <c r="B563" t="s">
        <v>259</v>
      </c>
      <c r="C563">
        <v>55109</v>
      </c>
      <c r="D563" t="s">
        <v>280</v>
      </c>
      <c r="E563" t="s">
        <v>261</v>
      </c>
      <c r="F563" t="s">
        <v>268</v>
      </c>
      <c r="G563" t="s">
        <v>267</v>
      </c>
      <c r="H563">
        <v>6306.8098337506199</v>
      </c>
      <c r="I563" t="s">
        <v>264</v>
      </c>
      <c r="J563" t="s">
        <v>265</v>
      </c>
      <c r="K563">
        <v>81708</v>
      </c>
      <c r="L563" t="s">
        <v>266</v>
      </c>
      <c r="M563">
        <v>0.08</v>
      </c>
    </row>
    <row r="564" spans="1:13" x14ac:dyDescent="0.25">
      <c r="A564">
        <v>2007</v>
      </c>
      <c r="B564" t="s">
        <v>259</v>
      </c>
      <c r="C564">
        <v>55109</v>
      </c>
      <c r="D564" t="s">
        <v>280</v>
      </c>
      <c r="E564" t="s">
        <v>261</v>
      </c>
      <c r="F564" t="s">
        <v>268</v>
      </c>
      <c r="G564" t="s">
        <v>269</v>
      </c>
      <c r="H564">
        <v>76.792484832078799</v>
      </c>
      <c r="I564" t="s">
        <v>264</v>
      </c>
      <c r="J564" t="s">
        <v>265</v>
      </c>
      <c r="K564">
        <v>81708</v>
      </c>
      <c r="L564" t="s">
        <v>266</v>
      </c>
      <c r="M564">
        <v>0</v>
      </c>
    </row>
    <row r="565" spans="1:13" x14ac:dyDescent="0.25">
      <c r="A565">
        <v>2007</v>
      </c>
      <c r="B565" t="s">
        <v>259</v>
      </c>
      <c r="C565">
        <v>55109</v>
      </c>
      <c r="D565" t="s">
        <v>280</v>
      </c>
      <c r="E565" t="s">
        <v>261</v>
      </c>
      <c r="F565" t="s">
        <v>270</v>
      </c>
      <c r="G565" t="s">
        <v>263</v>
      </c>
      <c r="H565">
        <v>25707.765342812399</v>
      </c>
      <c r="I565" t="s">
        <v>264</v>
      </c>
      <c r="J565" t="s">
        <v>265</v>
      </c>
      <c r="K565">
        <v>81708</v>
      </c>
      <c r="L565" t="s">
        <v>266</v>
      </c>
      <c r="M565">
        <v>0.31</v>
      </c>
    </row>
    <row r="566" spans="1:13" x14ac:dyDescent="0.25">
      <c r="A566">
        <v>2007</v>
      </c>
      <c r="B566" t="s">
        <v>259</v>
      </c>
      <c r="C566">
        <v>55109</v>
      </c>
      <c r="D566" t="s">
        <v>280</v>
      </c>
      <c r="E566" t="s">
        <v>261</v>
      </c>
      <c r="F566" t="s">
        <v>270</v>
      </c>
      <c r="G566" t="s">
        <v>267</v>
      </c>
      <c r="H566">
        <v>135044.27944489699</v>
      </c>
      <c r="I566" t="s">
        <v>264</v>
      </c>
      <c r="J566" t="s">
        <v>265</v>
      </c>
      <c r="K566">
        <v>81708</v>
      </c>
      <c r="L566" t="s">
        <v>266</v>
      </c>
      <c r="M566">
        <v>1.65</v>
      </c>
    </row>
    <row r="567" spans="1:13" x14ac:dyDescent="0.25">
      <c r="A567">
        <v>2007</v>
      </c>
      <c r="B567" t="s">
        <v>259</v>
      </c>
      <c r="C567">
        <v>55109</v>
      </c>
      <c r="D567" t="s">
        <v>280</v>
      </c>
      <c r="E567" t="s">
        <v>261</v>
      </c>
      <c r="F567" t="s">
        <v>270</v>
      </c>
      <c r="G567" t="s">
        <v>269</v>
      </c>
      <c r="H567">
        <v>2.9455560364496001</v>
      </c>
      <c r="I567" t="s">
        <v>264</v>
      </c>
      <c r="J567" t="s">
        <v>265</v>
      </c>
      <c r="K567">
        <v>81708</v>
      </c>
      <c r="L567" t="s">
        <v>266</v>
      </c>
      <c r="M567">
        <v>0</v>
      </c>
    </row>
    <row r="568" spans="1:13" x14ac:dyDescent="0.25">
      <c r="A568">
        <v>2008</v>
      </c>
      <c r="B568" t="s">
        <v>259</v>
      </c>
      <c r="C568">
        <v>27003</v>
      </c>
      <c r="D568" t="s">
        <v>260</v>
      </c>
      <c r="E568" t="s">
        <v>261</v>
      </c>
      <c r="F568" t="s">
        <v>262</v>
      </c>
      <c r="G568" t="s">
        <v>263</v>
      </c>
      <c r="H568">
        <v>1097979.23620822</v>
      </c>
      <c r="I568" t="s">
        <v>264</v>
      </c>
      <c r="J568" t="s">
        <v>265</v>
      </c>
      <c r="K568">
        <v>327427</v>
      </c>
      <c r="L568" t="s">
        <v>266</v>
      </c>
      <c r="M568">
        <v>3.35</v>
      </c>
    </row>
    <row r="569" spans="1:13" x14ac:dyDescent="0.25">
      <c r="A569">
        <v>2008</v>
      </c>
      <c r="B569" t="s">
        <v>259</v>
      </c>
      <c r="C569">
        <v>27003</v>
      </c>
      <c r="D569" t="s">
        <v>260</v>
      </c>
      <c r="E569" t="s">
        <v>261</v>
      </c>
      <c r="F569" t="s">
        <v>262</v>
      </c>
      <c r="G569" t="s">
        <v>267</v>
      </c>
      <c r="H569">
        <v>33297.524693726999</v>
      </c>
      <c r="I569" t="s">
        <v>264</v>
      </c>
      <c r="J569" t="s">
        <v>265</v>
      </c>
      <c r="K569">
        <v>327427</v>
      </c>
      <c r="L569" t="s">
        <v>266</v>
      </c>
      <c r="M569">
        <v>0.1</v>
      </c>
    </row>
    <row r="570" spans="1:13" x14ac:dyDescent="0.25">
      <c r="A570">
        <v>2008</v>
      </c>
      <c r="B570" t="s">
        <v>259</v>
      </c>
      <c r="C570">
        <v>27003</v>
      </c>
      <c r="D570" t="s">
        <v>260</v>
      </c>
      <c r="E570" t="s">
        <v>261</v>
      </c>
      <c r="F570" t="s">
        <v>268</v>
      </c>
      <c r="G570" t="s">
        <v>263</v>
      </c>
      <c r="H570">
        <v>505.52057727785899</v>
      </c>
      <c r="I570" t="s">
        <v>264</v>
      </c>
      <c r="J570" t="s">
        <v>265</v>
      </c>
      <c r="K570">
        <v>327427</v>
      </c>
      <c r="L570" t="s">
        <v>266</v>
      </c>
      <c r="M570">
        <v>0</v>
      </c>
    </row>
    <row r="571" spans="1:13" x14ac:dyDescent="0.25">
      <c r="A571">
        <v>2008</v>
      </c>
      <c r="B571" t="s">
        <v>259</v>
      </c>
      <c r="C571">
        <v>27003</v>
      </c>
      <c r="D571" t="s">
        <v>260</v>
      </c>
      <c r="E571" t="s">
        <v>261</v>
      </c>
      <c r="F571" t="s">
        <v>268</v>
      </c>
      <c r="G571" t="s">
        <v>267</v>
      </c>
      <c r="H571">
        <v>14439.4281449761</v>
      </c>
      <c r="I571" t="s">
        <v>264</v>
      </c>
      <c r="J571" t="s">
        <v>265</v>
      </c>
      <c r="K571">
        <v>327427</v>
      </c>
      <c r="L571" t="s">
        <v>266</v>
      </c>
      <c r="M571">
        <v>0.04</v>
      </c>
    </row>
    <row r="572" spans="1:13" x14ac:dyDescent="0.25">
      <c r="A572">
        <v>2008</v>
      </c>
      <c r="B572" t="s">
        <v>259</v>
      </c>
      <c r="C572">
        <v>27003</v>
      </c>
      <c r="D572" t="s">
        <v>260</v>
      </c>
      <c r="E572" t="s">
        <v>261</v>
      </c>
      <c r="F572" t="s">
        <v>268</v>
      </c>
      <c r="G572" t="s">
        <v>269</v>
      </c>
      <c r="H572">
        <v>11.5975007455193</v>
      </c>
      <c r="I572" t="s">
        <v>264</v>
      </c>
      <c r="J572" t="s">
        <v>265</v>
      </c>
      <c r="K572">
        <v>327427</v>
      </c>
      <c r="L572" t="s">
        <v>266</v>
      </c>
      <c r="M572">
        <v>0</v>
      </c>
    </row>
    <row r="573" spans="1:13" x14ac:dyDescent="0.25">
      <c r="A573">
        <v>2008</v>
      </c>
      <c r="B573" t="s">
        <v>259</v>
      </c>
      <c r="C573">
        <v>27003</v>
      </c>
      <c r="D573" t="s">
        <v>260</v>
      </c>
      <c r="E573" t="s">
        <v>261</v>
      </c>
      <c r="F573" t="s">
        <v>270</v>
      </c>
      <c r="G573" t="s">
        <v>263</v>
      </c>
      <c r="H573">
        <v>84202.121878157603</v>
      </c>
      <c r="I573" t="s">
        <v>264</v>
      </c>
      <c r="J573" t="s">
        <v>265</v>
      </c>
      <c r="K573">
        <v>327427</v>
      </c>
      <c r="L573" t="s">
        <v>266</v>
      </c>
      <c r="M573">
        <v>0.26</v>
      </c>
    </row>
    <row r="574" spans="1:13" x14ac:dyDescent="0.25">
      <c r="A574">
        <v>2008</v>
      </c>
      <c r="B574" t="s">
        <v>259</v>
      </c>
      <c r="C574">
        <v>27003</v>
      </c>
      <c r="D574" t="s">
        <v>260</v>
      </c>
      <c r="E574" t="s">
        <v>261</v>
      </c>
      <c r="F574" t="s">
        <v>270</v>
      </c>
      <c r="G574" t="s">
        <v>267</v>
      </c>
      <c r="H574">
        <v>301873.18417175399</v>
      </c>
      <c r="I574" t="s">
        <v>264</v>
      </c>
      <c r="J574" t="s">
        <v>265</v>
      </c>
      <c r="K574">
        <v>327427</v>
      </c>
      <c r="L574" t="s">
        <v>266</v>
      </c>
      <c r="M574">
        <v>0.92</v>
      </c>
    </row>
    <row r="575" spans="1:13" x14ac:dyDescent="0.25">
      <c r="A575">
        <v>2008</v>
      </c>
      <c r="B575" t="s">
        <v>259</v>
      </c>
      <c r="C575">
        <v>27003</v>
      </c>
      <c r="D575" t="s">
        <v>260</v>
      </c>
      <c r="E575" t="s">
        <v>261</v>
      </c>
      <c r="F575" t="s">
        <v>270</v>
      </c>
      <c r="G575" t="s">
        <v>269</v>
      </c>
      <c r="H575">
        <v>2.2378333993156398</v>
      </c>
      <c r="I575" t="s">
        <v>264</v>
      </c>
      <c r="J575" t="s">
        <v>265</v>
      </c>
      <c r="K575">
        <v>327427</v>
      </c>
      <c r="L575" t="s">
        <v>266</v>
      </c>
      <c r="M575">
        <v>0</v>
      </c>
    </row>
    <row r="576" spans="1:13" x14ac:dyDescent="0.25">
      <c r="A576">
        <v>2008</v>
      </c>
      <c r="B576" t="s">
        <v>259</v>
      </c>
      <c r="C576">
        <v>27019</v>
      </c>
      <c r="D576" t="s">
        <v>271</v>
      </c>
      <c r="E576" t="s">
        <v>261</v>
      </c>
      <c r="F576" t="s">
        <v>262</v>
      </c>
      <c r="G576" t="s">
        <v>263</v>
      </c>
      <c r="H576">
        <v>328307.55905456399</v>
      </c>
      <c r="I576" t="s">
        <v>264</v>
      </c>
      <c r="J576" t="s">
        <v>265</v>
      </c>
      <c r="K576">
        <v>88812</v>
      </c>
      <c r="L576" t="s">
        <v>266</v>
      </c>
      <c r="M576">
        <v>3.7</v>
      </c>
    </row>
    <row r="577" spans="1:13" x14ac:dyDescent="0.25">
      <c r="A577">
        <v>2008</v>
      </c>
      <c r="B577" t="s">
        <v>259</v>
      </c>
      <c r="C577">
        <v>27019</v>
      </c>
      <c r="D577" t="s">
        <v>271</v>
      </c>
      <c r="E577" t="s">
        <v>261</v>
      </c>
      <c r="F577" t="s">
        <v>262</v>
      </c>
      <c r="G577" t="s">
        <v>267</v>
      </c>
      <c r="H577">
        <v>13134.080904218001</v>
      </c>
      <c r="I577" t="s">
        <v>264</v>
      </c>
      <c r="J577" t="s">
        <v>265</v>
      </c>
      <c r="K577">
        <v>88812</v>
      </c>
      <c r="L577" t="s">
        <v>266</v>
      </c>
      <c r="M577">
        <v>0.15</v>
      </c>
    </row>
    <row r="578" spans="1:13" x14ac:dyDescent="0.25">
      <c r="A578">
        <v>2008</v>
      </c>
      <c r="B578" t="s">
        <v>259</v>
      </c>
      <c r="C578">
        <v>27019</v>
      </c>
      <c r="D578" t="s">
        <v>271</v>
      </c>
      <c r="E578" t="s">
        <v>261</v>
      </c>
      <c r="F578" t="s">
        <v>268</v>
      </c>
      <c r="G578" t="s">
        <v>263</v>
      </c>
      <c r="H578">
        <v>173.90778412626599</v>
      </c>
      <c r="I578" t="s">
        <v>264</v>
      </c>
      <c r="J578" t="s">
        <v>265</v>
      </c>
      <c r="K578">
        <v>88812</v>
      </c>
      <c r="L578" t="s">
        <v>266</v>
      </c>
      <c r="M578">
        <v>0</v>
      </c>
    </row>
    <row r="579" spans="1:13" x14ac:dyDescent="0.25">
      <c r="A579">
        <v>2008</v>
      </c>
      <c r="B579" t="s">
        <v>259</v>
      </c>
      <c r="C579">
        <v>27019</v>
      </c>
      <c r="D579" t="s">
        <v>271</v>
      </c>
      <c r="E579" t="s">
        <v>261</v>
      </c>
      <c r="F579" t="s">
        <v>268</v>
      </c>
      <c r="G579" t="s">
        <v>267</v>
      </c>
      <c r="H579">
        <v>4065.8794516729999</v>
      </c>
      <c r="I579" t="s">
        <v>264</v>
      </c>
      <c r="J579" t="s">
        <v>265</v>
      </c>
      <c r="K579">
        <v>88812</v>
      </c>
      <c r="L579" t="s">
        <v>266</v>
      </c>
      <c r="M579">
        <v>0.05</v>
      </c>
    </row>
    <row r="580" spans="1:13" x14ac:dyDescent="0.25">
      <c r="A580">
        <v>2008</v>
      </c>
      <c r="B580" t="s">
        <v>259</v>
      </c>
      <c r="C580">
        <v>27019</v>
      </c>
      <c r="D580" t="s">
        <v>271</v>
      </c>
      <c r="E580" t="s">
        <v>261</v>
      </c>
      <c r="F580" t="s">
        <v>268</v>
      </c>
      <c r="G580" t="s">
        <v>269</v>
      </c>
      <c r="H580">
        <v>152.58771659106901</v>
      </c>
      <c r="I580" t="s">
        <v>264</v>
      </c>
      <c r="J580" t="s">
        <v>265</v>
      </c>
      <c r="K580">
        <v>88812</v>
      </c>
      <c r="L580" t="s">
        <v>266</v>
      </c>
      <c r="M580">
        <v>0</v>
      </c>
    </row>
    <row r="581" spans="1:13" x14ac:dyDescent="0.25">
      <c r="A581">
        <v>2008</v>
      </c>
      <c r="B581" t="s">
        <v>259</v>
      </c>
      <c r="C581">
        <v>27019</v>
      </c>
      <c r="D581" t="s">
        <v>271</v>
      </c>
      <c r="E581" t="s">
        <v>261</v>
      </c>
      <c r="F581" t="s">
        <v>270</v>
      </c>
      <c r="G581" t="s">
        <v>263</v>
      </c>
      <c r="H581">
        <v>16905.883781238899</v>
      </c>
      <c r="I581" t="s">
        <v>264</v>
      </c>
      <c r="J581" t="s">
        <v>265</v>
      </c>
      <c r="K581">
        <v>88812</v>
      </c>
      <c r="L581" t="s">
        <v>266</v>
      </c>
      <c r="M581">
        <v>0.19</v>
      </c>
    </row>
    <row r="582" spans="1:13" x14ac:dyDescent="0.25">
      <c r="A582">
        <v>2008</v>
      </c>
      <c r="B582" t="s">
        <v>259</v>
      </c>
      <c r="C582">
        <v>27019</v>
      </c>
      <c r="D582" t="s">
        <v>271</v>
      </c>
      <c r="E582" t="s">
        <v>261</v>
      </c>
      <c r="F582" t="s">
        <v>270</v>
      </c>
      <c r="G582" t="s">
        <v>267</v>
      </c>
      <c r="H582">
        <v>90891.039304040401</v>
      </c>
      <c r="I582" t="s">
        <v>264</v>
      </c>
      <c r="J582" t="s">
        <v>265</v>
      </c>
      <c r="K582">
        <v>88812</v>
      </c>
      <c r="L582" t="s">
        <v>266</v>
      </c>
      <c r="M582">
        <v>1.02</v>
      </c>
    </row>
    <row r="583" spans="1:13" x14ac:dyDescent="0.25">
      <c r="A583">
        <v>2008</v>
      </c>
      <c r="B583" t="s">
        <v>259</v>
      </c>
      <c r="C583">
        <v>27019</v>
      </c>
      <c r="D583" t="s">
        <v>271</v>
      </c>
      <c r="E583" t="s">
        <v>261</v>
      </c>
      <c r="F583" t="s">
        <v>270</v>
      </c>
      <c r="G583" t="s">
        <v>269</v>
      </c>
      <c r="H583">
        <v>1.09358220583721</v>
      </c>
      <c r="I583" t="s">
        <v>264</v>
      </c>
      <c r="J583" t="s">
        <v>265</v>
      </c>
      <c r="K583">
        <v>88812</v>
      </c>
      <c r="L583" t="s">
        <v>266</v>
      </c>
      <c r="M583">
        <v>0</v>
      </c>
    </row>
    <row r="584" spans="1:13" x14ac:dyDescent="0.25">
      <c r="A584">
        <v>2008</v>
      </c>
      <c r="B584" t="s">
        <v>259</v>
      </c>
      <c r="C584">
        <v>27025</v>
      </c>
      <c r="D584" t="s">
        <v>272</v>
      </c>
      <c r="E584" t="s">
        <v>261</v>
      </c>
      <c r="F584" t="s">
        <v>262</v>
      </c>
      <c r="G584" t="s">
        <v>263</v>
      </c>
      <c r="H584">
        <v>298633.91210828698</v>
      </c>
      <c r="I584" t="s">
        <v>264</v>
      </c>
      <c r="J584" t="s">
        <v>265</v>
      </c>
      <c r="K584">
        <v>53012</v>
      </c>
      <c r="L584" t="s">
        <v>266</v>
      </c>
      <c r="M584">
        <v>5.63</v>
      </c>
    </row>
    <row r="585" spans="1:13" x14ac:dyDescent="0.25">
      <c r="A585">
        <v>2008</v>
      </c>
      <c r="B585" t="s">
        <v>259</v>
      </c>
      <c r="C585">
        <v>27025</v>
      </c>
      <c r="D585" t="s">
        <v>272</v>
      </c>
      <c r="E585" t="s">
        <v>261</v>
      </c>
      <c r="F585" t="s">
        <v>262</v>
      </c>
      <c r="G585" t="s">
        <v>267</v>
      </c>
      <c r="H585">
        <v>18567.3818768403</v>
      </c>
      <c r="I585" t="s">
        <v>264</v>
      </c>
      <c r="J585" t="s">
        <v>265</v>
      </c>
      <c r="K585">
        <v>53012</v>
      </c>
      <c r="L585" t="s">
        <v>266</v>
      </c>
      <c r="M585">
        <v>0.35</v>
      </c>
    </row>
    <row r="586" spans="1:13" x14ac:dyDescent="0.25">
      <c r="A586">
        <v>2008</v>
      </c>
      <c r="B586" t="s">
        <v>259</v>
      </c>
      <c r="C586">
        <v>27025</v>
      </c>
      <c r="D586" t="s">
        <v>272</v>
      </c>
      <c r="E586" t="s">
        <v>261</v>
      </c>
      <c r="F586" t="s">
        <v>268</v>
      </c>
      <c r="G586" t="s">
        <v>263</v>
      </c>
      <c r="H586">
        <v>526.27725126515804</v>
      </c>
      <c r="I586" t="s">
        <v>264</v>
      </c>
      <c r="J586" t="s">
        <v>265</v>
      </c>
      <c r="K586">
        <v>53012</v>
      </c>
      <c r="L586" t="s">
        <v>266</v>
      </c>
      <c r="M586">
        <v>0.01</v>
      </c>
    </row>
    <row r="587" spans="1:13" x14ac:dyDescent="0.25">
      <c r="A587">
        <v>2008</v>
      </c>
      <c r="B587" t="s">
        <v>259</v>
      </c>
      <c r="C587">
        <v>27025</v>
      </c>
      <c r="D587" t="s">
        <v>272</v>
      </c>
      <c r="E587" t="s">
        <v>261</v>
      </c>
      <c r="F587" t="s">
        <v>268</v>
      </c>
      <c r="G587" t="s">
        <v>267</v>
      </c>
      <c r="H587">
        <v>3325.4519621887098</v>
      </c>
      <c r="I587" t="s">
        <v>264</v>
      </c>
      <c r="J587" t="s">
        <v>265</v>
      </c>
      <c r="K587">
        <v>53012</v>
      </c>
      <c r="L587" t="s">
        <v>266</v>
      </c>
      <c r="M587">
        <v>0.06</v>
      </c>
    </row>
    <row r="588" spans="1:13" x14ac:dyDescent="0.25">
      <c r="A588">
        <v>2008</v>
      </c>
      <c r="B588" t="s">
        <v>259</v>
      </c>
      <c r="C588">
        <v>27025</v>
      </c>
      <c r="D588" t="s">
        <v>272</v>
      </c>
      <c r="E588" t="s">
        <v>261</v>
      </c>
      <c r="F588" t="s">
        <v>268</v>
      </c>
      <c r="G588" t="s">
        <v>269</v>
      </c>
      <c r="H588">
        <v>71.329633690625698</v>
      </c>
      <c r="I588" t="s">
        <v>264</v>
      </c>
      <c r="J588" t="s">
        <v>265</v>
      </c>
      <c r="K588">
        <v>53012</v>
      </c>
      <c r="L588" t="s">
        <v>266</v>
      </c>
      <c r="M588">
        <v>0</v>
      </c>
    </row>
    <row r="589" spans="1:13" x14ac:dyDescent="0.25">
      <c r="A589">
        <v>2008</v>
      </c>
      <c r="B589" t="s">
        <v>259</v>
      </c>
      <c r="C589">
        <v>27025</v>
      </c>
      <c r="D589" t="s">
        <v>272</v>
      </c>
      <c r="E589" t="s">
        <v>261</v>
      </c>
      <c r="F589" t="s">
        <v>270</v>
      </c>
      <c r="G589" t="s">
        <v>263</v>
      </c>
      <c r="H589">
        <v>13785.5510783515</v>
      </c>
      <c r="I589" t="s">
        <v>264</v>
      </c>
      <c r="J589" t="s">
        <v>265</v>
      </c>
      <c r="K589">
        <v>53012</v>
      </c>
      <c r="L589" t="s">
        <v>266</v>
      </c>
      <c r="M589">
        <v>0.26</v>
      </c>
    </row>
    <row r="590" spans="1:13" x14ac:dyDescent="0.25">
      <c r="A590">
        <v>2008</v>
      </c>
      <c r="B590" t="s">
        <v>259</v>
      </c>
      <c r="C590">
        <v>27025</v>
      </c>
      <c r="D590" t="s">
        <v>272</v>
      </c>
      <c r="E590" t="s">
        <v>261</v>
      </c>
      <c r="F590" t="s">
        <v>270</v>
      </c>
      <c r="G590" t="s">
        <v>267</v>
      </c>
      <c r="H590">
        <v>80554.132640303593</v>
      </c>
      <c r="I590" t="s">
        <v>264</v>
      </c>
      <c r="J590" t="s">
        <v>265</v>
      </c>
      <c r="K590">
        <v>53012</v>
      </c>
      <c r="L590" t="s">
        <v>266</v>
      </c>
      <c r="M590">
        <v>1.52</v>
      </c>
    </row>
    <row r="591" spans="1:13" x14ac:dyDescent="0.25">
      <c r="A591">
        <v>2008</v>
      </c>
      <c r="B591" t="s">
        <v>259</v>
      </c>
      <c r="C591">
        <v>27025</v>
      </c>
      <c r="D591" t="s">
        <v>272</v>
      </c>
      <c r="E591" t="s">
        <v>261</v>
      </c>
      <c r="F591" t="s">
        <v>270</v>
      </c>
      <c r="G591" t="s">
        <v>269</v>
      </c>
      <c r="H591">
        <v>0.51465684531011202</v>
      </c>
      <c r="I591" t="s">
        <v>264</v>
      </c>
      <c r="J591" t="s">
        <v>265</v>
      </c>
      <c r="K591">
        <v>53012</v>
      </c>
      <c r="L591" t="s">
        <v>266</v>
      </c>
      <c r="M591">
        <v>0</v>
      </c>
    </row>
    <row r="592" spans="1:13" x14ac:dyDescent="0.25">
      <c r="A592">
        <v>2008</v>
      </c>
      <c r="B592" t="s">
        <v>259</v>
      </c>
      <c r="C592">
        <v>27037</v>
      </c>
      <c r="D592" t="s">
        <v>273</v>
      </c>
      <c r="E592" t="s">
        <v>261</v>
      </c>
      <c r="F592" t="s">
        <v>262</v>
      </c>
      <c r="G592" t="s">
        <v>263</v>
      </c>
      <c r="H592">
        <v>1420831.75429415</v>
      </c>
      <c r="I592" t="s">
        <v>264</v>
      </c>
      <c r="J592" t="s">
        <v>265</v>
      </c>
      <c r="K592">
        <v>393900</v>
      </c>
      <c r="L592" t="s">
        <v>266</v>
      </c>
      <c r="M592">
        <v>3.61</v>
      </c>
    </row>
    <row r="593" spans="1:13" x14ac:dyDescent="0.25">
      <c r="A593">
        <v>2008</v>
      </c>
      <c r="B593" t="s">
        <v>259</v>
      </c>
      <c r="C593">
        <v>27037</v>
      </c>
      <c r="D593" t="s">
        <v>273</v>
      </c>
      <c r="E593" t="s">
        <v>261</v>
      </c>
      <c r="F593" t="s">
        <v>262</v>
      </c>
      <c r="G593" t="s">
        <v>267</v>
      </c>
      <c r="H593">
        <v>32317.1133321407</v>
      </c>
      <c r="I593" t="s">
        <v>264</v>
      </c>
      <c r="J593" t="s">
        <v>265</v>
      </c>
      <c r="K593">
        <v>393900</v>
      </c>
      <c r="L593" t="s">
        <v>266</v>
      </c>
      <c r="M593">
        <v>0.08</v>
      </c>
    </row>
    <row r="594" spans="1:13" x14ac:dyDescent="0.25">
      <c r="A594">
        <v>2008</v>
      </c>
      <c r="B594" t="s">
        <v>259</v>
      </c>
      <c r="C594">
        <v>27037</v>
      </c>
      <c r="D594" t="s">
        <v>273</v>
      </c>
      <c r="E594" t="s">
        <v>261</v>
      </c>
      <c r="F594" t="s">
        <v>262</v>
      </c>
      <c r="G594" t="s">
        <v>269</v>
      </c>
      <c r="H594">
        <v>0</v>
      </c>
      <c r="I594" t="s">
        <v>264</v>
      </c>
      <c r="J594" t="s">
        <v>265</v>
      </c>
      <c r="K594">
        <v>393900</v>
      </c>
      <c r="L594" t="s">
        <v>266</v>
      </c>
      <c r="M594">
        <v>0</v>
      </c>
    </row>
    <row r="595" spans="1:13" x14ac:dyDescent="0.25">
      <c r="A595">
        <v>2008</v>
      </c>
      <c r="B595" t="s">
        <v>259</v>
      </c>
      <c r="C595">
        <v>27037</v>
      </c>
      <c r="D595" t="s">
        <v>273</v>
      </c>
      <c r="E595" t="s">
        <v>261</v>
      </c>
      <c r="F595" t="s">
        <v>268</v>
      </c>
      <c r="G595" t="s">
        <v>263</v>
      </c>
      <c r="H595">
        <v>455.14227321115999</v>
      </c>
      <c r="I595" t="s">
        <v>264</v>
      </c>
      <c r="J595" t="s">
        <v>265</v>
      </c>
      <c r="K595">
        <v>393900</v>
      </c>
      <c r="L595" t="s">
        <v>266</v>
      </c>
      <c r="M595">
        <v>0</v>
      </c>
    </row>
    <row r="596" spans="1:13" x14ac:dyDescent="0.25">
      <c r="A596">
        <v>2008</v>
      </c>
      <c r="B596" t="s">
        <v>259</v>
      </c>
      <c r="C596">
        <v>27037</v>
      </c>
      <c r="D596" t="s">
        <v>273</v>
      </c>
      <c r="E596" t="s">
        <v>261</v>
      </c>
      <c r="F596" t="s">
        <v>268</v>
      </c>
      <c r="G596" t="s">
        <v>267</v>
      </c>
      <c r="H596">
        <v>18708.0241250117</v>
      </c>
      <c r="I596" t="s">
        <v>264</v>
      </c>
      <c r="J596" t="s">
        <v>265</v>
      </c>
      <c r="K596">
        <v>393900</v>
      </c>
      <c r="L596" t="s">
        <v>266</v>
      </c>
      <c r="M596">
        <v>0.05</v>
      </c>
    </row>
    <row r="597" spans="1:13" x14ac:dyDescent="0.25">
      <c r="A597">
        <v>2008</v>
      </c>
      <c r="B597" t="s">
        <v>259</v>
      </c>
      <c r="C597">
        <v>27037</v>
      </c>
      <c r="D597" t="s">
        <v>273</v>
      </c>
      <c r="E597" t="s">
        <v>261</v>
      </c>
      <c r="F597" t="s">
        <v>268</v>
      </c>
      <c r="G597" t="s">
        <v>269</v>
      </c>
      <c r="H597">
        <v>22.042285252815201</v>
      </c>
      <c r="I597" t="s">
        <v>264</v>
      </c>
      <c r="J597" t="s">
        <v>265</v>
      </c>
      <c r="K597">
        <v>393900</v>
      </c>
      <c r="L597" t="s">
        <v>266</v>
      </c>
      <c r="M597">
        <v>0</v>
      </c>
    </row>
    <row r="598" spans="1:13" x14ac:dyDescent="0.25">
      <c r="A598">
        <v>2008</v>
      </c>
      <c r="B598" t="s">
        <v>259</v>
      </c>
      <c r="C598">
        <v>27037</v>
      </c>
      <c r="D598" t="s">
        <v>273</v>
      </c>
      <c r="E598" t="s">
        <v>261</v>
      </c>
      <c r="F598" t="s">
        <v>270</v>
      </c>
      <c r="G598" t="s">
        <v>263</v>
      </c>
      <c r="H598">
        <v>83676.238662405798</v>
      </c>
      <c r="I598" t="s">
        <v>264</v>
      </c>
      <c r="J598" t="s">
        <v>265</v>
      </c>
      <c r="K598">
        <v>393900</v>
      </c>
      <c r="L598" t="s">
        <v>266</v>
      </c>
      <c r="M598">
        <v>0.21</v>
      </c>
    </row>
    <row r="599" spans="1:13" x14ac:dyDescent="0.25">
      <c r="A599">
        <v>2008</v>
      </c>
      <c r="B599" t="s">
        <v>259</v>
      </c>
      <c r="C599">
        <v>27037</v>
      </c>
      <c r="D599" t="s">
        <v>273</v>
      </c>
      <c r="E599" t="s">
        <v>261</v>
      </c>
      <c r="F599" t="s">
        <v>270</v>
      </c>
      <c r="G599" t="s">
        <v>267</v>
      </c>
      <c r="H599">
        <v>402555.07053149102</v>
      </c>
      <c r="I599" t="s">
        <v>264</v>
      </c>
      <c r="J599" t="s">
        <v>265</v>
      </c>
      <c r="K599">
        <v>393900</v>
      </c>
      <c r="L599" t="s">
        <v>266</v>
      </c>
      <c r="M599">
        <v>1.02</v>
      </c>
    </row>
    <row r="600" spans="1:13" x14ac:dyDescent="0.25">
      <c r="A600">
        <v>2008</v>
      </c>
      <c r="B600" t="s">
        <v>259</v>
      </c>
      <c r="C600">
        <v>27037</v>
      </c>
      <c r="D600" t="s">
        <v>273</v>
      </c>
      <c r="E600" t="s">
        <v>261</v>
      </c>
      <c r="F600" t="s">
        <v>270</v>
      </c>
      <c r="G600" t="s">
        <v>269</v>
      </c>
      <c r="H600">
        <v>2.6381417299359202</v>
      </c>
      <c r="I600" t="s">
        <v>264</v>
      </c>
      <c r="J600" t="s">
        <v>265</v>
      </c>
      <c r="K600">
        <v>393900</v>
      </c>
      <c r="L600" t="s">
        <v>266</v>
      </c>
      <c r="M600">
        <v>0</v>
      </c>
    </row>
    <row r="601" spans="1:13" x14ac:dyDescent="0.25">
      <c r="A601">
        <v>2008</v>
      </c>
      <c r="B601" t="s">
        <v>259</v>
      </c>
      <c r="C601">
        <v>27053</v>
      </c>
      <c r="D601" t="s">
        <v>274</v>
      </c>
      <c r="E601" t="s">
        <v>261</v>
      </c>
      <c r="F601" t="s">
        <v>262</v>
      </c>
      <c r="G601" t="s">
        <v>263</v>
      </c>
      <c r="H601">
        <v>3782569.8192583802</v>
      </c>
      <c r="I601" t="s">
        <v>264</v>
      </c>
      <c r="J601" t="s">
        <v>265</v>
      </c>
      <c r="K601">
        <v>1135173</v>
      </c>
      <c r="L601" t="s">
        <v>266</v>
      </c>
      <c r="M601">
        <v>3.33</v>
      </c>
    </row>
    <row r="602" spans="1:13" x14ac:dyDescent="0.25">
      <c r="A602">
        <v>2008</v>
      </c>
      <c r="B602" t="s">
        <v>259</v>
      </c>
      <c r="C602">
        <v>27053</v>
      </c>
      <c r="D602" t="s">
        <v>274</v>
      </c>
      <c r="E602" t="s">
        <v>261</v>
      </c>
      <c r="F602" t="s">
        <v>262</v>
      </c>
      <c r="G602" t="s">
        <v>267</v>
      </c>
      <c r="H602">
        <v>54515.254918817001</v>
      </c>
      <c r="I602" t="s">
        <v>264</v>
      </c>
      <c r="J602" t="s">
        <v>265</v>
      </c>
      <c r="K602">
        <v>1135173</v>
      </c>
      <c r="L602" t="s">
        <v>266</v>
      </c>
      <c r="M602">
        <v>0.05</v>
      </c>
    </row>
    <row r="603" spans="1:13" x14ac:dyDescent="0.25">
      <c r="A603">
        <v>2008</v>
      </c>
      <c r="B603" t="s">
        <v>259</v>
      </c>
      <c r="C603">
        <v>27053</v>
      </c>
      <c r="D603" t="s">
        <v>274</v>
      </c>
      <c r="E603" t="s">
        <v>261</v>
      </c>
      <c r="F603" t="s">
        <v>262</v>
      </c>
      <c r="G603" t="s">
        <v>269</v>
      </c>
      <c r="H603">
        <v>0</v>
      </c>
      <c r="I603" t="s">
        <v>264</v>
      </c>
      <c r="J603" t="s">
        <v>265</v>
      </c>
      <c r="K603">
        <v>1135173</v>
      </c>
      <c r="L603" t="s">
        <v>266</v>
      </c>
      <c r="M603">
        <v>0</v>
      </c>
    </row>
    <row r="604" spans="1:13" x14ac:dyDescent="0.25">
      <c r="A604">
        <v>2008</v>
      </c>
      <c r="B604" t="s">
        <v>259</v>
      </c>
      <c r="C604">
        <v>27053</v>
      </c>
      <c r="D604" t="s">
        <v>274</v>
      </c>
      <c r="E604" t="s">
        <v>261</v>
      </c>
      <c r="F604" t="s">
        <v>268</v>
      </c>
      <c r="G604" t="s">
        <v>263</v>
      </c>
      <c r="H604">
        <v>3447.7739376361301</v>
      </c>
      <c r="I604" t="s">
        <v>264</v>
      </c>
      <c r="J604" t="s">
        <v>265</v>
      </c>
      <c r="K604">
        <v>1135173</v>
      </c>
      <c r="L604" t="s">
        <v>266</v>
      </c>
      <c r="M604">
        <v>0</v>
      </c>
    </row>
    <row r="605" spans="1:13" x14ac:dyDescent="0.25">
      <c r="A605">
        <v>2008</v>
      </c>
      <c r="B605" t="s">
        <v>259</v>
      </c>
      <c r="C605">
        <v>27053</v>
      </c>
      <c r="D605" t="s">
        <v>274</v>
      </c>
      <c r="E605" t="s">
        <v>261</v>
      </c>
      <c r="F605" t="s">
        <v>268</v>
      </c>
      <c r="G605" t="s">
        <v>267</v>
      </c>
      <c r="H605">
        <v>50328.347575413201</v>
      </c>
      <c r="I605" t="s">
        <v>264</v>
      </c>
      <c r="J605" t="s">
        <v>265</v>
      </c>
      <c r="K605">
        <v>1135173</v>
      </c>
      <c r="L605" t="s">
        <v>266</v>
      </c>
      <c r="M605">
        <v>0.04</v>
      </c>
    </row>
    <row r="606" spans="1:13" x14ac:dyDescent="0.25">
      <c r="A606">
        <v>2008</v>
      </c>
      <c r="B606" t="s">
        <v>259</v>
      </c>
      <c r="C606">
        <v>27053</v>
      </c>
      <c r="D606" t="s">
        <v>274</v>
      </c>
      <c r="E606" t="s">
        <v>261</v>
      </c>
      <c r="F606" t="s">
        <v>268</v>
      </c>
      <c r="G606" t="s">
        <v>269</v>
      </c>
      <c r="H606">
        <v>20.9092086442366</v>
      </c>
      <c r="I606" t="s">
        <v>264</v>
      </c>
      <c r="J606" t="s">
        <v>265</v>
      </c>
      <c r="K606">
        <v>1135173</v>
      </c>
      <c r="L606" t="s">
        <v>266</v>
      </c>
      <c r="M606">
        <v>0</v>
      </c>
    </row>
    <row r="607" spans="1:13" x14ac:dyDescent="0.25">
      <c r="A607">
        <v>2008</v>
      </c>
      <c r="B607" t="s">
        <v>259</v>
      </c>
      <c r="C607">
        <v>27053</v>
      </c>
      <c r="D607" t="s">
        <v>274</v>
      </c>
      <c r="E607" t="s">
        <v>261</v>
      </c>
      <c r="F607" t="s">
        <v>270</v>
      </c>
      <c r="G607" t="s">
        <v>263</v>
      </c>
      <c r="H607">
        <v>346865.76003007498</v>
      </c>
      <c r="I607" t="s">
        <v>264</v>
      </c>
      <c r="J607" t="s">
        <v>265</v>
      </c>
      <c r="K607">
        <v>1135173</v>
      </c>
      <c r="L607" t="s">
        <v>266</v>
      </c>
      <c r="M607">
        <v>0.31</v>
      </c>
    </row>
    <row r="608" spans="1:13" x14ac:dyDescent="0.25">
      <c r="A608">
        <v>2008</v>
      </c>
      <c r="B608" t="s">
        <v>259</v>
      </c>
      <c r="C608">
        <v>27053</v>
      </c>
      <c r="D608" t="s">
        <v>274</v>
      </c>
      <c r="E608" t="s">
        <v>261</v>
      </c>
      <c r="F608" t="s">
        <v>270</v>
      </c>
      <c r="G608" t="s">
        <v>267</v>
      </c>
      <c r="H608">
        <v>1048012.21710701</v>
      </c>
      <c r="I608" t="s">
        <v>264</v>
      </c>
      <c r="J608" t="s">
        <v>265</v>
      </c>
      <c r="K608">
        <v>1135173</v>
      </c>
      <c r="L608" t="s">
        <v>266</v>
      </c>
      <c r="M608">
        <v>0.92</v>
      </c>
    </row>
    <row r="609" spans="1:13" x14ac:dyDescent="0.25">
      <c r="A609">
        <v>2008</v>
      </c>
      <c r="B609" t="s">
        <v>259</v>
      </c>
      <c r="C609">
        <v>27053</v>
      </c>
      <c r="D609" t="s">
        <v>274</v>
      </c>
      <c r="E609" t="s">
        <v>261</v>
      </c>
      <c r="F609" t="s">
        <v>270</v>
      </c>
      <c r="G609" t="s">
        <v>269</v>
      </c>
      <c r="H609">
        <v>7.2261858098418701</v>
      </c>
      <c r="I609" t="s">
        <v>264</v>
      </c>
      <c r="J609" t="s">
        <v>265</v>
      </c>
      <c r="K609">
        <v>1135173</v>
      </c>
      <c r="L609" t="s">
        <v>266</v>
      </c>
      <c r="M609">
        <v>0</v>
      </c>
    </row>
    <row r="610" spans="1:13" x14ac:dyDescent="0.25">
      <c r="A610">
        <v>2008</v>
      </c>
      <c r="B610" t="s">
        <v>259</v>
      </c>
      <c r="C610">
        <v>27123</v>
      </c>
      <c r="D610" t="s">
        <v>275</v>
      </c>
      <c r="E610" t="s">
        <v>261</v>
      </c>
      <c r="F610" t="s">
        <v>262</v>
      </c>
      <c r="G610" t="s">
        <v>263</v>
      </c>
      <c r="H610">
        <v>1586988.36376028</v>
      </c>
      <c r="I610" t="s">
        <v>264</v>
      </c>
      <c r="J610" t="s">
        <v>265</v>
      </c>
      <c r="K610">
        <v>502890</v>
      </c>
      <c r="L610" t="s">
        <v>266</v>
      </c>
      <c r="M610">
        <v>3.16</v>
      </c>
    </row>
    <row r="611" spans="1:13" x14ac:dyDescent="0.25">
      <c r="A611">
        <v>2008</v>
      </c>
      <c r="B611" t="s">
        <v>259</v>
      </c>
      <c r="C611">
        <v>27123</v>
      </c>
      <c r="D611" t="s">
        <v>275</v>
      </c>
      <c r="E611" t="s">
        <v>261</v>
      </c>
      <c r="F611" t="s">
        <v>262</v>
      </c>
      <c r="G611" t="s">
        <v>267</v>
      </c>
      <c r="H611">
        <v>20325.325137149401</v>
      </c>
      <c r="I611" t="s">
        <v>264</v>
      </c>
      <c r="J611" t="s">
        <v>265</v>
      </c>
      <c r="K611">
        <v>502890</v>
      </c>
      <c r="L611" t="s">
        <v>266</v>
      </c>
      <c r="M611">
        <v>0.04</v>
      </c>
    </row>
    <row r="612" spans="1:13" x14ac:dyDescent="0.25">
      <c r="A612">
        <v>2008</v>
      </c>
      <c r="B612" t="s">
        <v>259</v>
      </c>
      <c r="C612">
        <v>27123</v>
      </c>
      <c r="D612" t="s">
        <v>275</v>
      </c>
      <c r="E612" t="s">
        <v>261</v>
      </c>
      <c r="F612" t="s">
        <v>262</v>
      </c>
      <c r="G612" t="s">
        <v>269</v>
      </c>
      <c r="H612">
        <v>0</v>
      </c>
      <c r="I612" t="s">
        <v>264</v>
      </c>
      <c r="J612" t="s">
        <v>265</v>
      </c>
      <c r="K612">
        <v>502890</v>
      </c>
      <c r="L612" t="s">
        <v>266</v>
      </c>
      <c r="M612">
        <v>0</v>
      </c>
    </row>
    <row r="613" spans="1:13" x14ac:dyDescent="0.25">
      <c r="A613">
        <v>2008</v>
      </c>
      <c r="B613" t="s">
        <v>259</v>
      </c>
      <c r="C613">
        <v>27123</v>
      </c>
      <c r="D613" t="s">
        <v>275</v>
      </c>
      <c r="E613" t="s">
        <v>261</v>
      </c>
      <c r="F613" t="s">
        <v>268</v>
      </c>
      <c r="G613" t="s">
        <v>263</v>
      </c>
      <c r="H613">
        <v>1884.0031990646401</v>
      </c>
      <c r="I613" t="s">
        <v>264</v>
      </c>
      <c r="J613" t="s">
        <v>265</v>
      </c>
      <c r="K613">
        <v>502890</v>
      </c>
      <c r="L613" t="s">
        <v>266</v>
      </c>
      <c r="M613">
        <v>0</v>
      </c>
    </row>
    <row r="614" spans="1:13" x14ac:dyDescent="0.25">
      <c r="A614">
        <v>2008</v>
      </c>
      <c r="B614" t="s">
        <v>259</v>
      </c>
      <c r="C614">
        <v>27123</v>
      </c>
      <c r="D614" t="s">
        <v>275</v>
      </c>
      <c r="E614" t="s">
        <v>261</v>
      </c>
      <c r="F614" t="s">
        <v>268</v>
      </c>
      <c r="G614" t="s">
        <v>267</v>
      </c>
      <c r="H614">
        <v>19763.863202496799</v>
      </c>
      <c r="I614" t="s">
        <v>264</v>
      </c>
      <c r="J614" t="s">
        <v>265</v>
      </c>
      <c r="K614">
        <v>502890</v>
      </c>
      <c r="L614" t="s">
        <v>266</v>
      </c>
      <c r="M614">
        <v>0.04</v>
      </c>
    </row>
    <row r="615" spans="1:13" x14ac:dyDescent="0.25">
      <c r="A615">
        <v>2008</v>
      </c>
      <c r="B615" t="s">
        <v>259</v>
      </c>
      <c r="C615">
        <v>27123</v>
      </c>
      <c r="D615" t="s">
        <v>275</v>
      </c>
      <c r="E615" t="s">
        <v>261</v>
      </c>
      <c r="F615" t="s">
        <v>268</v>
      </c>
      <c r="G615" t="s">
        <v>269</v>
      </c>
      <c r="H615">
        <v>106.288164580094</v>
      </c>
      <c r="I615" t="s">
        <v>264</v>
      </c>
      <c r="J615" t="s">
        <v>265</v>
      </c>
      <c r="K615">
        <v>502890</v>
      </c>
      <c r="L615" t="s">
        <v>266</v>
      </c>
      <c r="M615">
        <v>0</v>
      </c>
    </row>
    <row r="616" spans="1:13" x14ac:dyDescent="0.25">
      <c r="A616">
        <v>2008</v>
      </c>
      <c r="B616" t="s">
        <v>259</v>
      </c>
      <c r="C616">
        <v>27123</v>
      </c>
      <c r="D616" t="s">
        <v>275</v>
      </c>
      <c r="E616" t="s">
        <v>261</v>
      </c>
      <c r="F616" t="s">
        <v>270</v>
      </c>
      <c r="G616" t="s">
        <v>263</v>
      </c>
      <c r="H616">
        <v>142334.157811463</v>
      </c>
      <c r="I616" t="s">
        <v>264</v>
      </c>
      <c r="J616" t="s">
        <v>265</v>
      </c>
      <c r="K616">
        <v>502890</v>
      </c>
      <c r="L616" t="s">
        <v>266</v>
      </c>
      <c r="M616">
        <v>0.28000000000000003</v>
      </c>
    </row>
    <row r="617" spans="1:13" x14ac:dyDescent="0.25">
      <c r="A617">
        <v>2008</v>
      </c>
      <c r="B617" t="s">
        <v>259</v>
      </c>
      <c r="C617">
        <v>27123</v>
      </c>
      <c r="D617" t="s">
        <v>275</v>
      </c>
      <c r="E617" t="s">
        <v>261</v>
      </c>
      <c r="F617" t="s">
        <v>270</v>
      </c>
      <c r="G617" t="s">
        <v>267</v>
      </c>
      <c r="H617">
        <v>440081.10195357102</v>
      </c>
      <c r="I617" t="s">
        <v>264</v>
      </c>
      <c r="J617" t="s">
        <v>265</v>
      </c>
      <c r="K617">
        <v>502890</v>
      </c>
      <c r="L617" t="s">
        <v>266</v>
      </c>
      <c r="M617">
        <v>0.88</v>
      </c>
    </row>
    <row r="618" spans="1:13" x14ac:dyDescent="0.25">
      <c r="A618">
        <v>2008</v>
      </c>
      <c r="B618" t="s">
        <v>259</v>
      </c>
      <c r="C618">
        <v>27123</v>
      </c>
      <c r="D618" t="s">
        <v>275</v>
      </c>
      <c r="E618" t="s">
        <v>261</v>
      </c>
      <c r="F618" t="s">
        <v>270</v>
      </c>
      <c r="G618" t="s">
        <v>269</v>
      </c>
      <c r="H618">
        <v>5.9084212007571004</v>
      </c>
      <c r="I618" t="s">
        <v>264</v>
      </c>
      <c r="J618" t="s">
        <v>265</v>
      </c>
      <c r="K618">
        <v>502890</v>
      </c>
      <c r="L618" t="s">
        <v>266</v>
      </c>
      <c r="M618">
        <v>0</v>
      </c>
    </row>
    <row r="619" spans="1:13" x14ac:dyDescent="0.25">
      <c r="A619">
        <v>2008</v>
      </c>
      <c r="B619" t="s">
        <v>259</v>
      </c>
      <c r="C619">
        <v>27139</v>
      </c>
      <c r="D619" t="s">
        <v>276</v>
      </c>
      <c r="E619" t="s">
        <v>261</v>
      </c>
      <c r="F619" t="s">
        <v>262</v>
      </c>
      <c r="G619" t="s">
        <v>263</v>
      </c>
      <c r="H619">
        <v>479469.99141318101</v>
      </c>
      <c r="I619" t="s">
        <v>264</v>
      </c>
      <c r="J619" t="s">
        <v>265</v>
      </c>
      <c r="K619">
        <v>126613</v>
      </c>
      <c r="L619" t="s">
        <v>266</v>
      </c>
      <c r="M619">
        <v>3.79</v>
      </c>
    </row>
    <row r="620" spans="1:13" x14ac:dyDescent="0.25">
      <c r="A620">
        <v>2008</v>
      </c>
      <c r="B620" t="s">
        <v>259</v>
      </c>
      <c r="C620">
        <v>27139</v>
      </c>
      <c r="D620" t="s">
        <v>276</v>
      </c>
      <c r="E620" t="s">
        <v>261</v>
      </c>
      <c r="F620" t="s">
        <v>262</v>
      </c>
      <c r="G620" t="s">
        <v>267</v>
      </c>
      <c r="H620">
        <v>19471.569634916199</v>
      </c>
      <c r="I620" t="s">
        <v>264</v>
      </c>
      <c r="J620" t="s">
        <v>265</v>
      </c>
      <c r="K620">
        <v>126613</v>
      </c>
      <c r="L620" t="s">
        <v>266</v>
      </c>
      <c r="M620">
        <v>0.15</v>
      </c>
    </row>
    <row r="621" spans="1:13" x14ac:dyDescent="0.25">
      <c r="A621">
        <v>2008</v>
      </c>
      <c r="B621" t="s">
        <v>259</v>
      </c>
      <c r="C621">
        <v>27139</v>
      </c>
      <c r="D621" t="s">
        <v>276</v>
      </c>
      <c r="E621" t="s">
        <v>261</v>
      </c>
      <c r="F621" t="s">
        <v>262</v>
      </c>
      <c r="G621" t="s">
        <v>269</v>
      </c>
      <c r="H621">
        <v>0</v>
      </c>
      <c r="I621" t="s">
        <v>264</v>
      </c>
      <c r="J621" t="s">
        <v>265</v>
      </c>
      <c r="K621">
        <v>126613</v>
      </c>
      <c r="L621" t="s">
        <v>266</v>
      </c>
      <c r="M621">
        <v>0</v>
      </c>
    </row>
    <row r="622" spans="1:13" x14ac:dyDescent="0.25">
      <c r="A622">
        <v>2008</v>
      </c>
      <c r="B622" t="s">
        <v>259</v>
      </c>
      <c r="C622">
        <v>27139</v>
      </c>
      <c r="D622" t="s">
        <v>276</v>
      </c>
      <c r="E622" t="s">
        <v>261</v>
      </c>
      <c r="F622" t="s">
        <v>268</v>
      </c>
      <c r="G622" t="s">
        <v>263</v>
      </c>
      <c r="H622">
        <v>282.70093750182502</v>
      </c>
      <c r="I622" t="s">
        <v>264</v>
      </c>
      <c r="J622" t="s">
        <v>265</v>
      </c>
      <c r="K622">
        <v>126613</v>
      </c>
      <c r="L622" t="s">
        <v>266</v>
      </c>
      <c r="M622">
        <v>0</v>
      </c>
    </row>
    <row r="623" spans="1:13" x14ac:dyDescent="0.25">
      <c r="A623">
        <v>2008</v>
      </c>
      <c r="B623" t="s">
        <v>259</v>
      </c>
      <c r="C623">
        <v>27139</v>
      </c>
      <c r="D623" t="s">
        <v>276</v>
      </c>
      <c r="E623" t="s">
        <v>261</v>
      </c>
      <c r="F623" t="s">
        <v>268</v>
      </c>
      <c r="G623" t="s">
        <v>267</v>
      </c>
      <c r="H623">
        <v>6084.4018695323703</v>
      </c>
      <c r="I623" t="s">
        <v>264</v>
      </c>
      <c r="J623" t="s">
        <v>265</v>
      </c>
      <c r="K623">
        <v>126613</v>
      </c>
      <c r="L623" t="s">
        <v>266</v>
      </c>
      <c r="M623">
        <v>0.05</v>
      </c>
    </row>
    <row r="624" spans="1:13" x14ac:dyDescent="0.25">
      <c r="A624">
        <v>2008</v>
      </c>
      <c r="B624" t="s">
        <v>259</v>
      </c>
      <c r="C624">
        <v>27139</v>
      </c>
      <c r="D624" t="s">
        <v>276</v>
      </c>
      <c r="E624" t="s">
        <v>261</v>
      </c>
      <c r="F624" t="s">
        <v>268</v>
      </c>
      <c r="G624" t="s">
        <v>269</v>
      </c>
      <c r="H624">
        <v>89.690212529155204</v>
      </c>
      <c r="I624" t="s">
        <v>264</v>
      </c>
      <c r="J624" t="s">
        <v>265</v>
      </c>
      <c r="K624">
        <v>126613</v>
      </c>
      <c r="L624" t="s">
        <v>266</v>
      </c>
      <c r="M624">
        <v>0</v>
      </c>
    </row>
    <row r="625" spans="1:13" x14ac:dyDescent="0.25">
      <c r="A625">
        <v>2008</v>
      </c>
      <c r="B625" t="s">
        <v>259</v>
      </c>
      <c r="C625">
        <v>27139</v>
      </c>
      <c r="D625" t="s">
        <v>276</v>
      </c>
      <c r="E625" t="s">
        <v>261</v>
      </c>
      <c r="F625" t="s">
        <v>270</v>
      </c>
      <c r="G625" t="s">
        <v>263</v>
      </c>
      <c r="H625">
        <v>28521.4660627388</v>
      </c>
      <c r="I625" t="s">
        <v>264</v>
      </c>
      <c r="J625" t="s">
        <v>265</v>
      </c>
      <c r="K625">
        <v>126613</v>
      </c>
      <c r="L625" t="s">
        <v>266</v>
      </c>
      <c r="M625">
        <v>0.23</v>
      </c>
    </row>
    <row r="626" spans="1:13" x14ac:dyDescent="0.25">
      <c r="A626">
        <v>2008</v>
      </c>
      <c r="B626" t="s">
        <v>259</v>
      </c>
      <c r="C626">
        <v>27139</v>
      </c>
      <c r="D626" t="s">
        <v>276</v>
      </c>
      <c r="E626" t="s">
        <v>261</v>
      </c>
      <c r="F626" t="s">
        <v>270</v>
      </c>
      <c r="G626" t="s">
        <v>267</v>
      </c>
      <c r="H626">
        <v>132077.15545097401</v>
      </c>
      <c r="I626" t="s">
        <v>264</v>
      </c>
      <c r="J626" t="s">
        <v>265</v>
      </c>
      <c r="K626">
        <v>126613</v>
      </c>
      <c r="L626" t="s">
        <v>266</v>
      </c>
      <c r="M626">
        <v>1.04</v>
      </c>
    </row>
    <row r="627" spans="1:13" x14ac:dyDescent="0.25">
      <c r="A627">
        <v>2008</v>
      </c>
      <c r="B627" t="s">
        <v>259</v>
      </c>
      <c r="C627">
        <v>27139</v>
      </c>
      <c r="D627" t="s">
        <v>276</v>
      </c>
      <c r="E627" t="s">
        <v>261</v>
      </c>
      <c r="F627" t="s">
        <v>270</v>
      </c>
      <c r="G627" t="s">
        <v>269</v>
      </c>
      <c r="H627">
        <v>0.79492735140781501</v>
      </c>
      <c r="I627" t="s">
        <v>264</v>
      </c>
      <c r="J627" t="s">
        <v>265</v>
      </c>
      <c r="K627">
        <v>126613</v>
      </c>
      <c r="L627" t="s">
        <v>266</v>
      </c>
      <c r="M627">
        <v>0</v>
      </c>
    </row>
    <row r="628" spans="1:13" x14ac:dyDescent="0.25">
      <c r="A628">
        <v>2008</v>
      </c>
      <c r="B628" t="s">
        <v>259</v>
      </c>
      <c r="C628">
        <v>27141</v>
      </c>
      <c r="D628" t="s">
        <v>277</v>
      </c>
      <c r="E628" t="s">
        <v>261</v>
      </c>
      <c r="F628" t="s">
        <v>262</v>
      </c>
      <c r="G628" t="s">
        <v>263</v>
      </c>
      <c r="H628">
        <v>319913.248924213</v>
      </c>
      <c r="I628" t="s">
        <v>264</v>
      </c>
      <c r="J628" t="s">
        <v>265</v>
      </c>
      <c r="K628">
        <v>87495</v>
      </c>
      <c r="L628" t="s">
        <v>266</v>
      </c>
      <c r="M628">
        <v>3.66</v>
      </c>
    </row>
    <row r="629" spans="1:13" x14ac:dyDescent="0.25">
      <c r="A629">
        <v>2008</v>
      </c>
      <c r="B629" t="s">
        <v>259</v>
      </c>
      <c r="C629">
        <v>27141</v>
      </c>
      <c r="D629" t="s">
        <v>277</v>
      </c>
      <c r="E629" t="s">
        <v>261</v>
      </c>
      <c r="F629" t="s">
        <v>262</v>
      </c>
      <c r="G629" t="s">
        <v>267</v>
      </c>
      <c r="H629">
        <v>18077.0433648455</v>
      </c>
      <c r="I629" t="s">
        <v>264</v>
      </c>
      <c r="J629" t="s">
        <v>265</v>
      </c>
      <c r="K629">
        <v>87495</v>
      </c>
      <c r="L629" t="s">
        <v>266</v>
      </c>
      <c r="M629">
        <v>0.21</v>
      </c>
    </row>
    <row r="630" spans="1:13" x14ac:dyDescent="0.25">
      <c r="A630">
        <v>2008</v>
      </c>
      <c r="B630" t="s">
        <v>259</v>
      </c>
      <c r="C630">
        <v>27141</v>
      </c>
      <c r="D630" t="s">
        <v>277</v>
      </c>
      <c r="E630" t="s">
        <v>261</v>
      </c>
      <c r="F630" t="s">
        <v>262</v>
      </c>
      <c r="G630" t="s">
        <v>269</v>
      </c>
      <c r="H630">
        <v>0</v>
      </c>
      <c r="I630" t="s">
        <v>264</v>
      </c>
      <c r="J630" t="s">
        <v>265</v>
      </c>
      <c r="K630">
        <v>87495</v>
      </c>
      <c r="L630" t="s">
        <v>266</v>
      </c>
      <c r="M630">
        <v>0</v>
      </c>
    </row>
    <row r="631" spans="1:13" x14ac:dyDescent="0.25">
      <c r="A631">
        <v>2008</v>
      </c>
      <c r="B631" t="s">
        <v>259</v>
      </c>
      <c r="C631">
        <v>27141</v>
      </c>
      <c r="D631" t="s">
        <v>277</v>
      </c>
      <c r="E631" t="s">
        <v>261</v>
      </c>
      <c r="F631" t="s">
        <v>268</v>
      </c>
      <c r="G631" t="s">
        <v>263</v>
      </c>
      <c r="H631">
        <v>236.48030526822799</v>
      </c>
      <c r="I631" t="s">
        <v>264</v>
      </c>
      <c r="J631" t="s">
        <v>265</v>
      </c>
      <c r="K631">
        <v>87495</v>
      </c>
      <c r="L631" t="s">
        <v>266</v>
      </c>
      <c r="M631">
        <v>0</v>
      </c>
    </row>
    <row r="632" spans="1:13" x14ac:dyDescent="0.25">
      <c r="A632">
        <v>2008</v>
      </c>
      <c r="B632" t="s">
        <v>259</v>
      </c>
      <c r="C632">
        <v>27141</v>
      </c>
      <c r="D632" t="s">
        <v>277</v>
      </c>
      <c r="E632" t="s">
        <v>261</v>
      </c>
      <c r="F632" t="s">
        <v>268</v>
      </c>
      <c r="G632" t="s">
        <v>267</v>
      </c>
      <c r="H632">
        <v>3856.1221968824502</v>
      </c>
      <c r="I632" t="s">
        <v>264</v>
      </c>
      <c r="J632" t="s">
        <v>265</v>
      </c>
      <c r="K632">
        <v>87495</v>
      </c>
      <c r="L632" t="s">
        <v>266</v>
      </c>
      <c r="M632">
        <v>0.04</v>
      </c>
    </row>
    <row r="633" spans="1:13" x14ac:dyDescent="0.25">
      <c r="A633">
        <v>2008</v>
      </c>
      <c r="B633" t="s">
        <v>259</v>
      </c>
      <c r="C633">
        <v>27141</v>
      </c>
      <c r="D633" t="s">
        <v>277</v>
      </c>
      <c r="E633" t="s">
        <v>261</v>
      </c>
      <c r="F633" t="s">
        <v>268</v>
      </c>
      <c r="G633" t="s">
        <v>269</v>
      </c>
      <c r="H633">
        <v>59.817716618924301</v>
      </c>
      <c r="I633" t="s">
        <v>264</v>
      </c>
      <c r="J633" t="s">
        <v>265</v>
      </c>
      <c r="K633">
        <v>87495</v>
      </c>
      <c r="L633" t="s">
        <v>266</v>
      </c>
      <c r="M633">
        <v>0</v>
      </c>
    </row>
    <row r="634" spans="1:13" x14ac:dyDescent="0.25">
      <c r="A634">
        <v>2008</v>
      </c>
      <c r="B634" t="s">
        <v>259</v>
      </c>
      <c r="C634">
        <v>27141</v>
      </c>
      <c r="D634" t="s">
        <v>277</v>
      </c>
      <c r="E634" t="s">
        <v>261</v>
      </c>
      <c r="F634" t="s">
        <v>270</v>
      </c>
      <c r="G634" t="s">
        <v>263</v>
      </c>
      <c r="H634">
        <v>18158.239539211099</v>
      </c>
      <c r="I634" t="s">
        <v>264</v>
      </c>
      <c r="J634" t="s">
        <v>265</v>
      </c>
      <c r="K634">
        <v>87495</v>
      </c>
      <c r="L634" t="s">
        <v>266</v>
      </c>
      <c r="M634">
        <v>0.21</v>
      </c>
    </row>
    <row r="635" spans="1:13" x14ac:dyDescent="0.25">
      <c r="A635">
        <v>2008</v>
      </c>
      <c r="B635" t="s">
        <v>259</v>
      </c>
      <c r="C635">
        <v>27141</v>
      </c>
      <c r="D635" t="s">
        <v>277</v>
      </c>
      <c r="E635" t="s">
        <v>261</v>
      </c>
      <c r="F635" t="s">
        <v>270</v>
      </c>
      <c r="G635" t="s">
        <v>267</v>
      </c>
      <c r="H635">
        <v>88403.703033716796</v>
      </c>
      <c r="I635" t="s">
        <v>264</v>
      </c>
      <c r="J635" t="s">
        <v>265</v>
      </c>
      <c r="K635">
        <v>87495</v>
      </c>
      <c r="L635" t="s">
        <v>266</v>
      </c>
      <c r="M635">
        <v>1.01</v>
      </c>
    </row>
    <row r="636" spans="1:13" x14ac:dyDescent="0.25">
      <c r="A636">
        <v>2008</v>
      </c>
      <c r="B636" t="s">
        <v>259</v>
      </c>
      <c r="C636">
        <v>27141</v>
      </c>
      <c r="D636" t="s">
        <v>277</v>
      </c>
      <c r="E636" t="s">
        <v>261</v>
      </c>
      <c r="F636" t="s">
        <v>270</v>
      </c>
      <c r="G636" t="s">
        <v>269</v>
      </c>
      <c r="H636">
        <v>0.52721233933692602</v>
      </c>
      <c r="I636" t="s">
        <v>264</v>
      </c>
      <c r="J636" t="s">
        <v>265</v>
      </c>
      <c r="K636">
        <v>87495</v>
      </c>
      <c r="L636" t="s">
        <v>266</v>
      </c>
      <c r="M636">
        <v>0</v>
      </c>
    </row>
    <row r="637" spans="1:13" x14ac:dyDescent="0.25">
      <c r="A637">
        <v>2008</v>
      </c>
      <c r="B637" t="s">
        <v>259</v>
      </c>
      <c r="C637">
        <v>27163</v>
      </c>
      <c r="D637" t="s">
        <v>278</v>
      </c>
      <c r="E637" t="s">
        <v>261</v>
      </c>
      <c r="F637" t="s">
        <v>262</v>
      </c>
      <c r="G637" t="s">
        <v>263</v>
      </c>
      <c r="H637">
        <v>841771.805212065</v>
      </c>
      <c r="I637" t="s">
        <v>264</v>
      </c>
      <c r="J637" t="s">
        <v>265</v>
      </c>
      <c r="K637">
        <v>233306</v>
      </c>
      <c r="L637" t="s">
        <v>266</v>
      </c>
      <c r="M637">
        <v>3.61</v>
      </c>
    </row>
    <row r="638" spans="1:13" x14ac:dyDescent="0.25">
      <c r="A638">
        <v>2008</v>
      </c>
      <c r="B638" t="s">
        <v>259</v>
      </c>
      <c r="C638">
        <v>27163</v>
      </c>
      <c r="D638" t="s">
        <v>278</v>
      </c>
      <c r="E638" t="s">
        <v>261</v>
      </c>
      <c r="F638" t="s">
        <v>262</v>
      </c>
      <c r="G638" t="s">
        <v>267</v>
      </c>
      <c r="H638">
        <v>27251.961334651998</v>
      </c>
      <c r="I638" t="s">
        <v>264</v>
      </c>
      <c r="J638" t="s">
        <v>265</v>
      </c>
      <c r="K638">
        <v>233306</v>
      </c>
      <c r="L638" t="s">
        <v>266</v>
      </c>
      <c r="M638">
        <v>0.12</v>
      </c>
    </row>
    <row r="639" spans="1:13" x14ac:dyDescent="0.25">
      <c r="A639">
        <v>2008</v>
      </c>
      <c r="B639" t="s">
        <v>259</v>
      </c>
      <c r="C639">
        <v>27163</v>
      </c>
      <c r="D639" t="s">
        <v>278</v>
      </c>
      <c r="E639" t="s">
        <v>261</v>
      </c>
      <c r="F639" t="s">
        <v>262</v>
      </c>
      <c r="G639" t="s">
        <v>269</v>
      </c>
      <c r="H639">
        <v>0</v>
      </c>
      <c r="I639" t="s">
        <v>264</v>
      </c>
      <c r="J639" t="s">
        <v>265</v>
      </c>
      <c r="K639">
        <v>233306</v>
      </c>
      <c r="L639" t="s">
        <v>266</v>
      </c>
      <c r="M639">
        <v>0</v>
      </c>
    </row>
    <row r="640" spans="1:13" x14ac:dyDescent="0.25">
      <c r="A640">
        <v>2008</v>
      </c>
      <c r="B640" t="s">
        <v>259</v>
      </c>
      <c r="C640">
        <v>27163</v>
      </c>
      <c r="D640" t="s">
        <v>278</v>
      </c>
      <c r="E640" t="s">
        <v>261</v>
      </c>
      <c r="F640" t="s">
        <v>268</v>
      </c>
      <c r="G640" t="s">
        <v>263</v>
      </c>
      <c r="H640">
        <v>540.90859676102798</v>
      </c>
      <c r="I640" t="s">
        <v>264</v>
      </c>
      <c r="J640" t="s">
        <v>265</v>
      </c>
      <c r="K640">
        <v>233306</v>
      </c>
      <c r="L640" t="s">
        <v>266</v>
      </c>
      <c r="M640">
        <v>0</v>
      </c>
    </row>
    <row r="641" spans="1:13" x14ac:dyDescent="0.25">
      <c r="A641">
        <v>2008</v>
      </c>
      <c r="B641" t="s">
        <v>259</v>
      </c>
      <c r="C641">
        <v>27163</v>
      </c>
      <c r="D641" t="s">
        <v>278</v>
      </c>
      <c r="E641" t="s">
        <v>261</v>
      </c>
      <c r="F641" t="s">
        <v>268</v>
      </c>
      <c r="G641" t="s">
        <v>267</v>
      </c>
      <c r="H641">
        <v>10584.102417411499</v>
      </c>
      <c r="I641" t="s">
        <v>264</v>
      </c>
      <c r="J641" t="s">
        <v>265</v>
      </c>
      <c r="K641">
        <v>233306</v>
      </c>
      <c r="L641" t="s">
        <v>266</v>
      </c>
      <c r="M641">
        <v>0.05</v>
      </c>
    </row>
    <row r="642" spans="1:13" x14ac:dyDescent="0.25">
      <c r="A642">
        <v>2008</v>
      </c>
      <c r="B642" t="s">
        <v>259</v>
      </c>
      <c r="C642">
        <v>27163</v>
      </c>
      <c r="D642" t="s">
        <v>278</v>
      </c>
      <c r="E642" t="s">
        <v>261</v>
      </c>
      <c r="F642" t="s">
        <v>268</v>
      </c>
      <c r="G642" t="s">
        <v>269</v>
      </c>
      <c r="H642">
        <v>223.89129496734199</v>
      </c>
      <c r="I642" t="s">
        <v>264</v>
      </c>
      <c r="J642" t="s">
        <v>265</v>
      </c>
      <c r="K642">
        <v>233306</v>
      </c>
      <c r="L642" t="s">
        <v>266</v>
      </c>
      <c r="M642">
        <v>0</v>
      </c>
    </row>
    <row r="643" spans="1:13" x14ac:dyDescent="0.25">
      <c r="A643">
        <v>2008</v>
      </c>
      <c r="B643" t="s">
        <v>259</v>
      </c>
      <c r="C643">
        <v>27163</v>
      </c>
      <c r="D643" t="s">
        <v>278</v>
      </c>
      <c r="E643" t="s">
        <v>261</v>
      </c>
      <c r="F643" t="s">
        <v>270</v>
      </c>
      <c r="G643" t="s">
        <v>263</v>
      </c>
      <c r="H643">
        <v>40218.917270168698</v>
      </c>
      <c r="I643" t="s">
        <v>264</v>
      </c>
      <c r="J643" t="s">
        <v>265</v>
      </c>
      <c r="K643">
        <v>233306</v>
      </c>
      <c r="L643" t="s">
        <v>266</v>
      </c>
      <c r="M643">
        <v>0.17</v>
      </c>
    </row>
    <row r="644" spans="1:13" x14ac:dyDescent="0.25">
      <c r="A644">
        <v>2008</v>
      </c>
      <c r="B644" t="s">
        <v>259</v>
      </c>
      <c r="C644">
        <v>27163</v>
      </c>
      <c r="D644" t="s">
        <v>278</v>
      </c>
      <c r="E644" t="s">
        <v>261</v>
      </c>
      <c r="F644" t="s">
        <v>270</v>
      </c>
      <c r="G644" t="s">
        <v>267</v>
      </c>
      <c r="H644">
        <v>234384.382058096</v>
      </c>
      <c r="I644" t="s">
        <v>264</v>
      </c>
      <c r="J644" t="s">
        <v>265</v>
      </c>
      <c r="K644">
        <v>233306</v>
      </c>
      <c r="L644" t="s">
        <v>266</v>
      </c>
      <c r="M644">
        <v>1</v>
      </c>
    </row>
    <row r="645" spans="1:13" x14ac:dyDescent="0.25">
      <c r="A645">
        <v>2008</v>
      </c>
      <c r="B645" t="s">
        <v>259</v>
      </c>
      <c r="C645">
        <v>27163</v>
      </c>
      <c r="D645" t="s">
        <v>278</v>
      </c>
      <c r="E645" t="s">
        <v>261</v>
      </c>
      <c r="F645" t="s">
        <v>270</v>
      </c>
      <c r="G645" t="s">
        <v>269</v>
      </c>
      <c r="H645">
        <v>1.6230515940180901</v>
      </c>
      <c r="I645" t="s">
        <v>264</v>
      </c>
      <c r="J645" t="s">
        <v>265</v>
      </c>
      <c r="K645">
        <v>233306</v>
      </c>
      <c r="L645" t="s">
        <v>266</v>
      </c>
      <c r="M645">
        <v>0</v>
      </c>
    </row>
    <row r="646" spans="1:13" x14ac:dyDescent="0.25">
      <c r="A646">
        <v>2008</v>
      </c>
      <c r="B646" t="s">
        <v>259</v>
      </c>
      <c r="C646">
        <v>55093</v>
      </c>
      <c r="D646" t="s">
        <v>279</v>
      </c>
      <c r="E646" t="s">
        <v>261</v>
      </c>
      <c r="F646" t="s">
        <v>262</v>
      </c>
      <c r="G646" t="s">
        <v>263</v>
      </c>
      <c r="H646">
        <v>129003.831900074</v>
      </c>
      <c r="I646" t="s">
        <v>264</v>
      </c>
      <c r="J646" t="s">
        <v>265</v>
      </c>
      <c r="K646">
        <v>40758</v>
      </c>
      <c r="L646" t="s">
        <v>266</v>
      </c>
      <c r="M646">
        <v>3.17</v>
      </c>
    </row>
    <row r="647" spans="1:13" x14ac:dyDescent="0.25">
      <c r="A647">
        <v>2008</v>
      </c>
      <c r="B647" t="s">
        <v>259</v>
      </c>
      <c r="C647">
        <v>55093</v>
      </c>
      <c r="D647" t="s">
        <v>279</v>
      </c>
      <c r="E647" t="s">
        <v>261</v>
      </c>
      <c r="F647" t="s">
        <v>262</v>
      </c>
      <c r="G647" t="s">
        <v>267</v>
      </c>
      <c r="H647">
        <v>8045.4180663543002</v>
      </c>
      <c r="I647" t="s">
        <v>264</v>
      </c>
      <c r="J647" t="s">
        <v>265</v>
      </c>
      <c r="K647">
        <v>40758</v>
      </c>
      <c r="L647" t="s">
        <v>266</v>
      </c>
      <c r="M647">
        <v>0.2</v>
      </c>
    </row>
    <row r="648" spans="1:13" x14ac:dyDescent="0.25">
      <c r="A648">
        <v>2008</v>
      </c>
      <c r="B648" t="s">
        <v>259</v>
      </c>
      <c r="C648">
        <v>55093</v>
      </c>
      <c r="D648" t="s">
        <v>279</v>
      </c>
      <c r="E648" t="s">
        <v>261</v>
      </c>
      <c r="F648" t="s">
        <v>262</v>
      </c>
      <c r="G648" t="s">
        <v>269</v>
      </c>
      <c r="H648">
        <v>0</v>
      </c>
      <c r="I648" t="s">
        <v>264</v>
      </c>
      <c r="J648" t="s">
        <v>265</v>
      </c>
      <c r="K648">
        <v>40758</v>
      </c>
      <c r="L648" t="s">
        <v>266</v>
      </c>
      <c r="M648">
        <v>0</v>
      </c>
    </row>
    <row r="649" spans="1:13" x14ac:dyDescent="0.25">
      <c r="A649">
        <v>2008</v>
      </c>
      <c r="B649" t="s">
        <v>259</v>
      </c>
      <c r="C649">
        <v>55093</v>
      </c>
      <c r="D649" t="s">
        <v>279</v>
      </c>
      <c r="E649" t="s">
        <v>261</v>
      </c>
      <c r="F649" t="s">
        <v>268</v>
      </c>
      <c r="G649" t="s">
        <v>263</v>
      </c>
      <c r="H649">
        <v>128.249535421112</v>
      </c>
      <c r="I649" t="s">
        <v>264</v>
      </c>
      <c r="J649" t="s">
        <v>265</v>
      </c>
      <c r="K649">
        <v>40758</v>
      </c>
      <c r="L649" t="s">
        <v>266</v>
      </c>
      <c r="M649">
        <v>0</v>
      </c>
    </row>
    <row r="650" spans="1:13" x14ac:dyDescent="0.25">
      <c r="A650">
        <v>2008</v>
      </c>
      <c r="B650" t="s">
        <v>259</v>
      </c>
      <c r="C650">
        <v>55093</v>
      </c>
      <c r="D650" t="s">
        <v>279</v>
      </c>
      <c r="E650" t="s">
        <v>261</v>
      </c>
      <c r="F650" t="s">
        <v>268</v>
      </c>
      <c r="G650" t="s">
        <v>267</v>
      </c>
      <c r="H650">
        <v>2111.0124489458099</v>
      </c>
      <c r="I650" t="s">
        <v>264</v>
      </c>
      <c r="J650" t="s">
        <v>265</v>
      </c>
      <c r="K650">
        <v>40758</v>
      </c>
      <c r="L650" t="s">
        <v>266</v>
      </c>
      <c r="M650">
        <v>0.05</v>
      </c>
    </row>
    <row r="651" spans="1:13" x14ac:dyDescent="0.25">
      <c r="A651">
        <v>2008</v>
      </c>
      <c r="B651" t="s">
        <v>259</v>
      </c>
      <c r="C651">
        <v>55093</v>
      </c>
      <c r="D651" t="s">
        <v>279</v>
      </c>
      <c r="E651" t="s">
        <v>261</v>
      </c>
      <c r="F651" t="s">
        <v>268</v>
      </c>
      <c r="G651" t="s">
        <v>269</v>
      </c>
      <c r="H651">
        <v>45.6057891576678</v>
      </c>
      <c r="I651" t="s">
        <v>264</v>
      </c>
      <c r="J651" t="s">
        <v>265</v>
      </c>
      <c r="K651">
        <v>40758</v>
      </c>
      <c r="L651" t="s">
        <v>266</v>
      </c>
      <c r="M651">
        <v>0</v>
      </c>
    </row>
    <row r="652" spans="1:13" x14ac:dyDescent="0.25">
      <c r="A652">
        <v>2008</v>
      </c>
      <c r="B652" t="s">
        <v>259</v>
      </c>
      <c r="C652">
        <v>55093</v>
      </c>
      <c r="D652" t="s">
        <v>279</v>
      </c>
      <c r="E652" t="s">
        <v>261</v>
      </c>
      <c r="F652" t="s">
        <v>270</v>
      </c>
      <c r="G652" t="s">
        <v>263</v>
      </c>
      <c r="H652">
        <v>7436.9101916254003</v>
      </c>
      <c r="I652" t="s">
        <v>264</v>
      </c>
      <c r="J652" t="s">
        <v>265</v>
      </c>
      <c r="K652">
        <v>40758</v>
      </c>
      <c r="L652" t="s">
        <v>266</v>
      </c>
      <c r="M652">
        <v>0.18</v>
      </c>
    </row>
    <row r="653" spans="1:13" x14ac:dyDescent="0.25">
      <c r="A653">
        <v>2008</v>
      </c>
      <c r="B653" t="s">
        <v>259</v>
      </c>
      <c r="C653">
        <v>55093</v>
      </c>
      <c r="D653" t="s">
        <v>279</v>
      </c>
      <c r="E653" t="s">
        <v>261</v>
      </c>
      <c r="F653" t="s">
        <v>270</v>
      </c>
      <c r="G653" t="s">
        <v>267</v>
      </c>
      <c r="H653">
        <v>20603.440878867699</v>
      </c>
      <c r="I653" t="s">
        <v>264</v>
      </c>
      <c r="J653" t="s">
        <v>265</v>
      </c>
      <c r="K653">
        <v>40758</v>
      </c>
      <c r="L653" t="s">
        <v>266</v>
      </c>
      <c r="M653">
        <v>0.51</v>
      </c>
    </row>
    <row r="654" spans="1:13" x14ac:dyDescent="0.25">
      <c r="A654">
        <v>2008</v>
      </c>
      <c r="B654" t="s">
        <v>259</v>
      </c>
      <c r="C654">
        <v>55093</v>
      </c>
      <c r="D654" t="s">
        <v>279</v>
      </c>
      <c r="E654" t="s">
        <v>261</v>
      </c>
      <c r="F654" t="s">
        <v>270</v>
      </c>
      <c r="G654" t="s">
        <v>269</v>
      </c>
      <c r="H654">
        <v>0.57888818579288903</v>
      </c>
      <c r="I654" t="s">
        <v>264</v>
      </c>
      <c r="J654" t="s">
        <v>265</v>
      </c>
      <c r="K654">
        <v>40758</v>
      </c>
      <c r="L654" t="s">
        <v>266</v>
      </c>
      <c r="M654">
        <v>0</v>
      </c>
    </row>
    <row r="655" spans="1:13" x14ac:dyDescent="0.25">
      <c r="A655">
        <v>2008</v>
      </c>
      <c r="B655" t="s">
        <v>259</v>
      </c>
      <c r="C655">
        <v>55109</v>
      </c>
      <c r="D655" t="s">
        <v>280</v>
      </c>
      <c r="E655" t="s">
        <v>261</v>
      </c>
      <c r="F655" t="s">
        <v>262</v>
      </c>
      <c r="G655" t="s">
        <v>263</v>
      </c>
      <c r="H655">
        <v>409417.36445382697</v>
      </c>
      <c r="I655" t="s">
        <v>264</v>
      </c>
      <c r="J655" t="s">
        <v>265</v>
      </c>
      <c r="K655">
        <v>83192</v>
      </c>
      <c r="L655" t="s">
        <v>266</v>
      </c>
      <c r="M655">
        <v>4.92</v>
      </c>
    </row>
    <row r="656" spans="1:13" x14ac:dyDescent="0.25">
      <c r="A656">
        <v>2008</v>
      </c>
      <c r="B656" t="s">
        <v>259</v>
      </c>
      <c r="C656">
        <v>55109</v>
      </c>
      <c r="D656" t="s">
        <v>280</v>
      </c>
      <c r="E656" t="s">
        <v>261</v>
      </c>
      <c r="F656" t="s">
        <v>262</v>
      </c>
      <c r="G656" t="s">
        <v>267</v>
      </c>
      <c r="H656">
        <v>24808.062756881001</v>
      </c>
      <c r="I656" t="s">
        <v>264</v>
      </c>
      <c r="J656" t="s">
        <v>265</v>
      </c>
      <c r="K656">
        <v>83192</v>
      </c>
      <c r="L656" t="s">
        <v>266</v>
      </c>
      <c r="M656">
        <v>0.3</v>
      </c>
    </row>
    <row r="657" spans="1:13" x14ac:dyDescent="0.25">
      <c r="A657">
        <v>2008</v>
      </c>
      <c r="B657" t="s">
        <v>259</v>
      </c>
      <c r="C657">
        <v>55109</v>
      </c>
      <c r="D657" t="s">
        <v>280</v>
      </c>
      <c r="E657" t="s">
        <v>261</v>
      </c>
      <c r="F657" t="s">
        <v>262</v>
      </c>
      <c r="G657" t="s">
        <v>269</v>
      </c>
      <c r="H657">
        <v>0</v>
      </c>
      <c r="I657" t="s">
        <v>264</v>
      </c>
      <c r="J657" t="s">
        <v>265</v>
      </c>
      <c r="K657">
        <v>83192</v>
      </c>
      <c r="L657" t="s">
        <v>266</v>
      </c>
      <c r="M657">
        <v>0</v>
      </c>
    </row>
    <row r="658" spans="1:13" x14ac:dyDescent="0.25">
      <c r="A658">
        <v>2008</v>
      </c>
      <c r="B658" t="s">
        <v>259</v>
      </c>
      <c r="C658">
        <v>55109</v>
      </c>
      <c r="D658" t="s">
        <v>280</v>
      </c>
      <c r="E658" t="s">
        <v>261</v>
      </c>
      <c r="F658" t="s">
        <v>268</v>
      </c>
      <c r="G658" t="s">
        <v>263</v>
      </c>
      <c r="H658">
        <v>308.88539985639801</v>
      </c>
      <c r="I658" t="s">
        <v>264</v>
      </c>
      <c r="J658" t="s">
        <v>265</v>
      </c>
      <c r="K658">
        <v>83192</v>
      </c>
      <c r="L658" t="s">
        <v>266</v>
      </c>
      <c r="M658">
        <v>0</v>
      </c>
    </row>
    <row r="659" spans="1:13" x14ac:dyDescent="0.25">
      <c r="A659">
        <v>2008</v>
      </c>
      <c r="B659" t="s">
        <v>259</v>
      </c>
      <c r="C659">
        <v>55109</v>
      </c>
      <c r="D659" t="s">
        <v>280</v>
      </c>
      <c r="E659" t="s">
        <v>261</v>
      </c>
      <c r="F659" t="s">
        <v>268</v>
      </c>
      <c r="G659" t="s">
        <v>267</v>
      </c>
      <c r="H659">
        <v>6471.4401310695803</v>
      </c>
      <c r="I659" t="s">
        <v>264</v>
      </c>
      <c r="J659" t="s">
        <v>265</v>
      </c>
      <c r="K659">
        <v>83192</v>
      </c>
      <c r="L659" t="s">
        <v>266</v>
      </c>
      <c r="M659">
        <v>0.08</v>
      </c>
    </row>
    <row r="660" spans="1:13" x14ac:dyDescent="0.25">
      <c r="A660">
        <v>2008</v>
      </c>
      <c r="B660" t="s">
        <v>259</v>
      </c>
      <c r="C660">
        <v>55109</v>
      </c>
      <c r="D660" t="s">
        <v>280</v>
      </c>
      <c r="E660" t="s">
        <v>261</v>
      </c>
      <c r="F660" t="s">
        <v>268</v>
      </c>
      <c r="G660" t="s">
        <v>269</v>
      </c>
      <c r="H660">
        <v>79.994499003819598</v>
      </c>
      <c r="I660" t="s">
        <v>264</v>
      </c>
      <c r="J660" t="s">
        <v>265</v>
      </c>
      <c r="K660">
        <v>83192</v>
      </c>
      <c r="L660" t="s">
        <v>266</v>
      </c>
      <c r="M660">
        <v>0</v>
      </c>
    </row>
    <row r="661" spans="1:13" x14ac:dyDescent="0.25">
      <c r="A661">
        <v>2008</v>
      </c>
      <c r="B661" t="s">
        <v>259</v>
      </c>
      <c r="C661">
        <v>55109</v>
      </c>
      <c r="D661" t="s">
        <v>280</v>
      </c>
      <c r="E661" t="s">
        <v>261</v>
      </c>
      <c r="F661" t="s">
        <v>270</v>
      </c>
      <c r="G661" t="s">
        <v>263</v>
      </c>
      <c r="H661">
        <v>25570.480451490501</v>
      </c>
      <c r="I661" t="s">
        <v>264</v>
      </c>
      <c r="J661" t="s">
        <v>265</v>
      </c>
      <c r="K661">
        <v>83192</v>
      </c>
      <c r="L661" t="s">
        <v>266</v>
      </c>
      <c r="M661">
        <v>0.31</v>
      </c>
    </row>
    <row r="662" spans="1:13" x14ac:dyDescent="0.25">
      <c r="A662">
        <v>2008</v>
      </c>
      <c r="B662" t="s">
        <v>259</v>
      </c>
      <c r="C662">
        <v>55109</v>
      </c>
      <c r="D662" t="s">
        <v>280</v>
      </c>
      <c r="E662" t="s">
        <v>261</v>
      </c>
      <c r="F662" t="s">
        <v>270</v>
      </c>
      <c r="G662" t="s">
        <v>267</v>
      </c>
      <c r="H662">
        <v>137275.554602788</v>
      </c>
      <c r="I662" t="s">
        <v>264</v>
      </c>
      <c r="J662" t="s">
        <v>265</v>
      </c>
      <c r="K662">
        <v>83192</v>
      </c>
      <c r="L662" t="s">
        <v>266</v>
      </c>
      <c r="M662">
        <v>1.65</v>
      </c>
    </row>
    <row r="663" spans="1:13" x14ac:dyDescent="0.25">
      <c r="A663">
        <v>2008</v>
      </c>
      <c r="B663" t="s">
        <v>259</v>
      </c>
      <c r="C663">
        <v>55109</v>
      </c>
      <c r="D663" t="s">
        <v>280</v>
      </c>
      <c r="E663" t="s">
        <v>261</v>
      </c>
      <c r="F663" t="s">
        <v>270</v>
      </c>
      <c r="G663" t="s">
        <v>269</v>
      </c>
      <c r="H663">
        <v>3.19085319482063</v>
      </c>
      <c r="I663" t="s">
        <v>264</v>
      </c>
      <c r="J663" t="s">
        <v>265</v>
      </c>
      <c r="K663">
        <v>83192</v>
      </c>
      <c r="L663" t="s">
        <v>266</v>
      </c>
      <c r="M663">
        <v>0</v>
      </c>
    </row>
    <row r="664" spans="1:13" x14ac:dyDescent="0.25">
      <c r="A664">
        <v>2009</v>
      </c>
      <c r="B664" t="s">
        <v>259</v>
      </c>
      <c r="C664">
        <v>27003</v>
      </c>
      <c r="D664" t="s">
        <v>260</v>
      </c>
      <c r="E664" t="s">
        <v>261</v>
      </c>
      <c r="F664" t="s">
        <v>262</v>
      </c>
      <c r="G664" t="s">
        <v>263</v>
      </c>
      <c r="H664">
        <v>1093553.6930820199</v>
      </c>
      <c r="I664" t="s">
        <v>264</v>
      </c>
      <c r="J664" t="s">
        <v>265</v>
      </c>
      <c r="K664">
        <v>329635</v>
      </c>
      <c r="L664" t="s">
        <v>266</v>
      </c>
      <c r="M664">
        <v>3.32</v>
      </c>
    </row>
    <row r="665" spans="1:13" x14ac:dyDescent="0.25">
      <c r="A665">
        <v>2009</v>
      </c>
      <c r="B665" t="s">
        <v>259</v>
      </c>
      <c r="C665">
        <v>27003</v>
      </c>
      <c r="D665" t="s">
        <v>260</v>
      </c>
      <c r="E665" t="s">
        <v>261</v>
      </c>
      <c r="F665" t="s">
        <v>262</v>
      </c>
      <c r="G665" t="s">
        <v>267</v>
      </c>
      <c r="H665">
        <v>33058.801819157401</v>
      </c>
      <c r="I665" t="s">
        <v>264</v>
      </c>
      <c r="J665" t="s">
        <v>265</v>
      </c>
      <c r="K665">
        <v>329635</v>
      </c>
      <c r="L665" t="s">
        <v>266</v>
      </c>
      <c r="M665">
        <v>0.1</v>
      </c>
    </row>
    <row r="666" spans="1:13" x14ac:dyDescent="0.25">
      <c r="A666">
        <v>2009</v>
      </c>
      <c r="B666" t="s">
        <v>259</v>
      </c>
      <c r="C666">
        <v>27003</v>
      </c>
      <c r="D666" t="s">
        <v>260</v>
      </c>
      <c r="E666" t="s">
        <v>261</v>
      </c>
      <c r="F666" t="s">
        <v>268</v>
      </c>
      <c r="G666" t="s">
        <v>263</v>
      </c>
      <c r="H666">
        <v>388.41222357561298</v>
      </c>
      <c r="I666" t="s">
        <v>264</v>
      </c>
      <c r="J666" t="s">
        <v>265</v>
      </c>
      <c r="K666">
        <v>329635</v>
      </c>
      <c r="L666" t="s">
        <v>266</v>
      </c>
      <c r="M666">
        <v>0</v>
      </c>
    </row>
    <row r="667" spans="1:13" x14ac:dyDescent="0.25">
      <c r="A667">
        <v>2009</v>
      </c>
      <c r="B667" t="s">
        <v>259</v>
      </c>
      <c r="C667">
        <v>27003</v>
      </c>
      <c r="D667" t="s">
        <v>260</v>
      </c>
      <c r="E667" t="s">
        <v>261</v>
      </c>
      <c r="F667" t="s">
        <v>268</v>
      </c>
      <c r="G667" t="s">
        <v>267</v>
      </c>
      <c r="H667">
        <v>13611.266241174601</v>
      </c>
      <c r="I667" t="s">
        <v>264</v>
      </c>
      <c r="J667" t="s">
        <v>265</v>
      </c>
      <c r="K667">
        <v>329635</v>
      </c>
      <c r="L667" t="s">
        <v>266</v>
      </c>
      <c r="M667">
        <v>0.04</v>
      </c>
    </row>
    <row r="668" spans="1:13" x14ac:dyDescent="0.25">
      <c r="A668">
        <v>2009</v>
      </c>
      <c r="B668" t="s">
        <v>259</v>
      </c>
      <c r="C668">
        <v>27003</v>
      </c>
      <c r="D668" t="s">
        <v>260</v>
      </c>
      <c r="E668" t="s">
        <v>261</v>
      </c>
      <c r="F668" t="s">
        <v>268</v>
      </c>
      <c r="G668" t="s">
        <v>269</v>
      </c>
      <c r="H668">
        <v>11.160004114476401</v>
      </c>
      <c r="I668" t="s">
        <v>264</v>
      </c>
      <c r="J668" t="s">
        <v>265</v>
      </c>
      <c r="K668">
        <v>329635</v>
      </c>
      <c r="L668" t="s">
        <v>266</v>
      </c>
      <c r="M668">
        <v>0</v>
      </c>
    </row>
    <row r="669" spans="1:13" x14ac:dyDescent="0.25">
      <c r="A669">
        <v>2009</v>
      </c>
      <c r="B669" t="s">
        <v>259</v>
      </c>
      <c r="C669">
        <v>27003</v>
      </c>
      <c r="D669" t="s">
        <v>260</v>
      </c>
      <c r="E669" t="s">
        <v>261</v>
      </c>
      <c r="F669" t="s">
        <v>270</v>
      </c>
      <c r="G669" t="s">
        <v>263</v>
      </c>
      <c r="H669">
        <v>83256.638825304806</v>
      </c>
      <c r="I669" t="s">
        <v>264</v>
      </c>
      <c r="J669" t="s">
        <v>265</v>
      </c>
      <c r="K669">
        <v>329635</v>
      </c>
      <c r="L669" t="s">
        <v>266</v>
      </c>
      <c r="M669">
        <v>0.25</v>
      </c>
    </row>
    <row r="670" spans="1:13" x14ac:dyDescent="0.25">
      <c r="A670">
        <v>2009</v>
      </c>
      <c r="B670" t="s">
        <v>259</v>
      </c>
      <c r="C670">
        <v>27003</v>
      </c>
      <c r="D670" t="s">
        <v>260</v>
      </c>
      <c r="E670" t="s">
        <v>261</v>
      </c>
      <c r="F670" t="s">
        <v>270</v>
      </c>
      <c r="G670" t="s">
        <v>267</v>
      </c>
      <c r="H670">
        <v>278997.23689452</v>
      </c>
      <c r="I670" t="s">
        <v>264</v>
      </c>
      <c r="J670" t="s">
        <v>265</v>
      </c>
      <c r="K670">
        <v>329635</v>
      </c>
      <c r="L670" t="s">
        <v>266</v>
      </c>
      <c r="M670">
        <v>0.85</v>
      </c>
    </row>
    <row r="671" spans="1:13" x14ac:dyDescent="0.25">
      <c r="A671">
        <v>2009</v>
      </c>
      <c r="B671" t="s">
        <v>259</v>
      </c>
      <c r="C671">
        <v>27003</v>
      </c>
      <c r="D671" t="s">
        <v>260</v>
      </c>
      <c r="E671" t="s">
        <v>261</v>
      </c>
      <c r="F671" t="s">
        <v>270</v>
      </c>
      <c r="G671" t="s">
        <v>269</v>
      </c>
      <c r="H671">
        <v>2.7989829304687599</v>
      </c>
      <c r="I671" t="s">
        <v>264</v>
      </c>
      <c r="J671" t="s">
        <v>265</v>
      </c>
      <c r="K671">
        <v>329635</v>
      </c>
      <c r="L671" t="s">
        <v>266</v>
      </c>
      <c r="M671">
        <v>0</v>
      </c>
    </row>
    <row r="672" spans="1:13" x14ac:dyDescent="0.25">
      <c r="A672">
        <v>2009</v>
      </c>
      <c r="B672" t="s">
        <v>259</v>
      </c>
      <c r="C672">
        <v>27019</v>
      </c>
      <c r="D672" t="s">
        <v>271</v>
      </c>
      <c r="E672" t="s">
        <v>261</v>
      </c>
      <c r="F672" t="s">
        <v>262</v>
      </c>
      <c r="G672" t="s">
        <v>263</v>
      </c>
      <c r="H672">
        <v>327146.35133806901</v>
      </c>
      <c r="I672" t="s">
        <v>264</v>
      </c>
      <c r="J672" t="s">
        <v>265</v>
      </c>
      <c r="K672">
        <v>90242</v>
      </c>
      <c r="L672" t="s">
        <v>266</v>
      </c>
      <c r="M672">
        <v>3.63</v>
      </c>
    </row>
    <row r="673" spans="1:13" x14ac:dyDescent="0.25">
      <c r="A673">
        <v>2009</v>
      </c>
      <c r="B673" t="s">
        <v>259</v>
      </c>
      <c r="C673">
        <v>27019</v>
      </c>
      <c r="D673" t="s">
        <v>271</v>
      </c>
      <c r="E673" t="s">
        <v>261</v>
      </c>
      <c r="F673" t="s">
        <v>262</v>
      </c>
      <c r="G673" t="s">
        <v>267</v>
      </c>
      <c r="H673">
        <v>13013.662817353001</v>
      </c>
      <c r="I673" t="s">
        <v>264</v>
      </c>
      <c r="J673" t="s">
        <v>265</v>
      </c>
      <c r="K673">
        <v>90242</v>
      </c>
      <c r="L673" t="s">
        <v>266</v>
      </c>
      <c r="M673">
        <v>0.14000000000000001</v>
      </c>
    </row>
    <row r="674" spans="1:13" x14ac:dyDescent="0.25">
      <c r="A674">
        <v>2009</v>
      </c>
      <c r="B674" t="s">
        <v>259</v>
      </c>
      <c r="C674">
        <v>27019</v>
      </c>
      <c r="D674" t="s">
        <v>271</v>
      </c>
      <c r="E674" t="s">
        <v>261</v>
      </c>
      <c r="F674" t="s">
        <v>268</v>
      </c>
      <c r="G674" t="s">
        <v>263</v>
      </c>
      <c r="H674">
        <v>154.83317577164701</v>
      </c>
      <c r="I674" t="s">
        <v>264</v>
      </c>
      <c r="J674" t="s">
        <v>265</v>
      </c>
      <c r="K674">
        <v>90242</v>
      </c>
      <c r="L674" t="s">
        <v>266</v>
      </c>
      <c r="M674">
        <v>0</v>
      </c>
    </row>
    <row r="675" spans="1:13" x14ac:dyDescent="0.25">
      <c r="A675">
        <v>2009</v>
      </c>
      <c r="B675" t="s">
        <v>259</v>
      </c>
      <c r="C675">
        <v>27019</v>
      </c>
      <c r="D675" t="s">
        <v>271</v>
      </c>
      <c r="E675" t="s">
        <v>261</v>
      </c>
      <c r="F675" t="s">
        <v>268</v>
      </c>
      <c r="G675" t="s">
        <v>267</v>
      </c>
      <c r="H675">
        <v>3821.9446635519198</v>
      </c>
      <c r="I675" t="s">
        <v>264</v>
      </c>
      <c r="J675" t="s">
        <v>265</v>
      </c>
      <c r="K675">
        <v>90242</v>
      </c>
      <c r="L675" t="s">
        <v>266</v>
      </c>
      <c r="M675">
        <v>0.04</v>
      </c>
    </row>
    <row r="676" spans="1:13" x14ac:dyDescent="0.25">
      <c r="A676">
        <v>2009</v>
      </c>
      <c r="B676" t="s">
        <v>259</v>
      </c>
      <c r="C676">
        <v>27019</v>
      </c>
      <c r="D676" t="s">
        <v>271</v>
      </c>
      <c r="E676" t="s">
        <v>261</v>
      </c>
      <c r="F676" t="s">
        <v>268</v>
      </c>
      <c r="G676" t="s">
        <v>269</v>
      </c>
      <c r="H676">
        <v>145.97693652908299</v>
      </c>
      <c r="I676" t="s">
        <v>264</v>
      </c>
      <c r="J676" t="s">
        <v>265</v>
      </c>
      <c r="K676">
        <v>90242</v>
      </c>
      <c r="L676" t="s">
        <v>266</v>
      </c>
      <c r="M676">
        <v>0</v>
      </c>
    </row>
    <row r="677" spans="1:13" x14ac:dyDescent="0.25">
      <c r="A677">
        <v>2009</v>
      </c>
      <c r="B677" t="s">
        <v>259</v>
      </c>
      <c r="C677">
        <v>27019</v>
      </c>
      <c r="D677" t="s">
        <v>271</v>
      </c>
      <c r="E677" t="s">
        <v>261</v>
      </c>
      <c r="F677" t="s">
        <v>270</v>
      </c>
      <c r="G677" t="s">
        <v>263</v>
      </c>
      <c r="H677">
        <v>16695.2765806649</v>
      </c>
      <c r="I677" t="s">
        <v>264</v>
      </c>
      <c r="J677" t="s">
        <v>265</v>
      </c>
      <c r="K677">
        <v>90242</v>
      </c>
      <c r="L677" t="s">
        <v>266</v>
      </c>
      <c r="M677">
        <v>0.19</v>
      </c>
    </row>
    <row r="678" spans="1:13" x14ac:dyDescent="0.25">
      <c r="A678">
        <v>2009</v>
      </c>
      <c r="B678" t="s">
        <v>259</v>
      </c>
      <c r="C678">
        <v>27019</v>
      </c>
      <c r="D678" t="s">
        <v>271</v>
      </c>
      <c r="E678" t="s">
        <v>261</v>
      </c>
      <c r="F678" t="s">
        <v>270</v>
      </c>
      <c r="G678" t="s">
        <v>267</v>
      </c>
      <c r="H678">
        <v>84153.5108087525</v>
      </c>
      <c r="I678" t="s">
        <v>264</v>
      </c>
      <c r="J678" t="s">
        <v>265</v>
      </c>
      <c r="K678">
        <v>90242</v>
      </c>
      <c r="L678" t="s">
        <v>266</v>
      </c>
      <c r="M678">
        <v>0.93</v>
      </c>
    </row>
    <row r="679" spans="1:13" x14ac:dyDescent="0.25">
      <c r="A679">
        <v>2009</v>
      </c>
      <c r="B679" t="s">
        <v>259</v>
      </c>
      <c r="C679">
        <v>27019</v>
      </c>
      <c r="D679" t="s">
        <v>271</v>
      </c>
      <c r="E679" t="s">
        <v>261</v>
      </c>
      <c r="F679" t="s">
        <v>270</v>
      </c>
      <c r="G679" t="s">
        <v>269</v>
      </c>
      <c r="H679">
        <v>1.2443305762232999</v>
      </c>
      <c r="I679" t="s">
        <v>264</v>
      </c>
      <c r="J679" t="s">
        <v>265</v>
      </c>
      <c r="K679">
        <v>90242</v>
      </c>
      <c r="L679" t="s">
        <v>266</v>
      </c>
      <c r="M679">
        <v>0</v>
      </c>
    </row>
    <row r="680" spans="1:13" x14ac:dyDescent="0.25">
      <c r="A680">
        <v>2009</v>
      </c>
      <c r="B680" t="s">
        <v>259</v>
      </c>
      <c r="C680">
        <v>27025</v>
      </c>
      <c r="D680" t="s">
        <v>272</v>
      </c>
      <c r="E680" t="s">
        <v>261</v>
      </c>
      <c r="F680" t="s">
        <v>262</v>
      </c>
      <c r="G680" t="s">
        <v>263</v>
      </c>
      <c r="H680">
        <v>297636.96828848397</v>
      </c>
      <c r="I680" t="s">
        <v>264</v>
      </c>
      <c r="J680" t="s">
        <v>265</v>
      </c>
      <c r="K680">
        <v>53526</v>
      </c>
      <c r="L680" t="s">
        <v>266</v>
      </c>
      <c r="M680">
        <v>5.56</v>
      </c>
    </row>
    <row r="681" spans="1:13" x14ac:dyDescent="0.25">
      <c r="A681">
        <v>2009</v>
      </c>
      <c r="B681" t="s">
        <v>259</v>
      </c>
      <c r="C681">
        <v>27025</v>
      </c>
      <c r="D681" t="s">
        <v>272</v>
      </c>
      <c r="E681" t="s">
        <v>261</v>
      </c>
      <c r="F681" t="s">
        <v>262</v>
      </c>
      <c r="G681" t="s">
        <v>267</v>
      </c>
      <c r="H681">
        <v>18412.213792131999</v>
      </c>
      <c r="I681" t="s">
        <v>264</v>
      </c>
      <c r="J681" t="s">
        <v>265</v>
      </c>
      <c r="K681">
        <v>53526</v>
      </c>
      <c r="L681" t="s">
        <v>266</v>
      </c>
      <c r="M681">
        <v>0.34</v>
      </c>
    </row>
    <row r="682" spans="1:13" x14ac:dyDescent="0.25">
      <c r="A682">
        <v>2009</v>
      </c>
      <c r="B682" t="s">
        <v>259</v>
      </c>
      <c r="C682">
        <v>27025</v>
      </c>
      <c r="D682" t="s">
        <v>272</v>
      </c>
      <c r="E682" t="s">
        <v>261</v>
      </c>
      <c r="F682" t="s">
        <v>268</v>
      </c>
      <c r="G682" t="s">
        <v>263</v>
      </c>
      <c r="H682">
        <v>426.59627989394397</v>
      </c>
      <c r="I682" t="s">
        <v>264</v>
      </c>
      <c r="J682" t="s">
        <v>265</v>
      </c>
      <c r="K682">
        <v>53526</v>
      </c>
      <c r="L682" t="s">
        <v>266</v>
      </c>
      <c r="M682">
        <v>0.01</v>
      </c>
    </row>
    <row r="683" spans="1:13" x14ac:dyDescent="0.25">
      <c r="A683">
        <v>2009</v>
      </c>
      <c r="B683" t="s">
        <v>259</v>
      </c>
      <c r="C683">
        <v>27025</v>
      </c>
      <c r="D683" t="s">
        <v>272</v>
      </c>
      <c r="E683" t="s">
        <v>261</v>
      </c>
      <c r="F683" t="s">
        <v>268</v>
      </c>
      <c r="G683" t="s">
        <v>267</v>
      </c>
      <c r="H683">
        <v>3136.5205423120001</v>
      </c>
      <c r="I683" t="s">
        <v>264</v>
      </c>
      <c r="J683" t="s">
        <v>265</v>
      </c>
      <c r="K683">
        <v>53526</v>
      </c>
      <c r="L683" t="s">
        <v>266</v>
      </c>
      <c r="M683">
        <v>0.06</v>
      </c>
    </row>
    <row r="684" spans="1:13" x14ac:dyDescent="0.25">
      <c r="A684">
        <v>2009</v>
      </c>
      <c r="B684" t="s">
        <v>259</v>
      </c>
      <c r="C684">
        <v>27025</v>
      </c>
      <c r="D684" t="s">
        <v>272</v>
      </c>
      <c r="E684" t="s">
        <v>261</v>
      </c>
      <c r="F684" t="s">
        <v>268</v>
      </c>
      <c r="G684" t="s">
        <v>269</v>
      </c>
      <c r="H684">
        <v>68.661523511738395</v>
      </c>
      <c r="I684" t="s">
        <v>264</v>
      </c>
      <c r="J684" t="s">
        <v>265</v>
      </c>
      <c r="K684">
        <v>53526</v>
      </c>
      <c r="L684" t="s">
        <v>266</v>
      </c>
      <c r="M684">
        <v>0</v>
      </c>
    </row>
    <row r="685" spans="1:13" x14ac:dyDescent="0.25">
      <c r="A685">
        <v>2009</v>
      </c>
      <c r="B685" t="s">
        <v>259</v>
      </c>
      <c r="C685">
        <v>27025</v>
      </c>
      <c r="D685" t="s">
        <v>272</v>
      </c>
      <c r="E685" t="s">
        <v>261</v>
      </c>
      <c r="F685" t="s">
        <v>270</v>
      </c>
      <c r="G685" t="s">
        <v>263</v>
      </c>
      <c r="H685">
        <v>13505.6988251855</v>
      </c>
      <c r="I685" t="s">
        <v>264</v>
      </c>
      <c r="J685" t="s">
        <v>265</v>
      </c>
      <c r="K685">
        <v>53526</v>
      </c>
      <c r="L685" t="s">
        <v>266</v>
      </c>
      <c r="M685">
        <v>0.25</v>
      </c>
    </row>
    <row r="686" spans="1:13" x14ac:dyDescent="0.25">
      <c r="A686">
        <v>2009</v>
      </c>
      <c r="B686" t="s">
        <v>259</v>
      </c>
      <c r="C686">
        <v>27025</v>
      </c>
      <c r="D686" t="s">
        <v>272</v>
      </c>
      <c r="E686" t="s">
        <v>261</v>
      </c>
      <c r="F686" t="s">
        <v>270</v>
      </c>
      <c r="G686" t="s">
        <v>267</v>
      </c>
      <c r="H686">
        <v>74454.253126116499</v>
      </c>
      <c r="I686" t="s">
        <v>264</v>
      </c>
      <c r="J686" t="s">
        <v>265</v>
      </c>
      <c r="K686">
        <v>53526</v>
      </c>
      <c r="L686" t="s">
        <v>266</v>
      </c>
      <c r="M686">
        <v>1.39</v>
      </c>
    </row>
    <row r="687" spans="1:13" x14ac:dyDescent="0.25">
      <c r="A687">
        <v>2009</v>
      </c>
      <c r="B687" t="s">
        <v>259</v>
      </c>
      <c r="C687">
        <v>27025</v>
      </c>
      <c r="D687" t="s">
        <v>272</v>
      </c>
      <c r="E687" t="s">
        <v>261</v>
      </c>
      <c r="F687" t="s">
        <v>270</v>
      </c>
      <c r="G687" t="s">
        <v>269</v>
      </c>
      <c r="H687">
        <v>0.64425556407877005</v>
      </c>
      <c r="I687" t="s">
        <v>264</v>
      </c>
      <c r="J687" t="s">
        <v>265</v>
      </c>
      <c r="K687">
        <v>53526</v>
      </c>
      <c r="L687" t="s">
        <v>266</v>
      </c>
      <c r="M687">
        <v>0</v>
      </c>
    </row>
    <row r="688" spans="1:13" x14ac:dyDescent="0.25">
      <c r="A688">
        <v>2009</v>
      </c>
      <c r="B688" t="s">
        <v>259</v>
      </c>
      <c r="C688">
        <v>27037</v>
      </c>
      <c r="D688" t="s">
        <v>273</v>
      </c>
      <c r="E688" t="s">
        <v>261</v>
      </c>
      <c r="F688" t="s">
        <v>262</v>
      </c>
      <c r="G688" t="s">
        <v>263</v>
      </c>
      <c r="H688">
        <v>1414960.7525327899</v>
      </c>
      <c r="I688" t="s">
        <v>264</v>
      </c>
      <c r="J688" t="s">
        <v>265</v>
      </c>
      <c r="K688">
        <v>396906</v>
      </c>
      <c r="L688" t="s">
        <v>266</v>
      </c>
      <c r="M688">
        <v>3.56</v>
      </c>
    </row>
    <row r="689" spans="1:13" x14ac:dyDescent="0.25">
      <c r="A689">
        <v>2009</v>
      </c>
      <c r="B689" t="s">
        <v>259</v>
      </c>
      <c r="C689">
        <v>27037</v>
      </c>
      <c r="D689" t="s">
        <v>273</v>
      </c>
      <c r="E689" t="s">
        <v>261</v>
      </c>
      <c r="F689" t="s">
        <v>262</v>
      </c>
      <c r="G689" t="s">
        <v>267</v>
      </c>
      <c r="H689">
        <v>32143.705683192198</v>
      </c>
      <c r="I689" t="s">
        <v>264</v>
      </c>
      <c r="J689" t="s">
        <v>265</v>
      </c>
      <c r="K689">
        <v>396906</v>
      </c>
      <c r="L689" t="s">
        <v>266</v>
      </c>
      <c r="M689">
        <v>0.08</v>
      </c>
    </row>
    <row r="690" spans="1:13" x14ac:dyDescent="0.25">
      <c r="A690">
        <v>2009</v>
      </c>
      <c r="B690" t="s">
        <v>259</v>
      </c>
      <c r="C690">
        <v>27037</v>
      </c>
      <c r="D690" t="s">
        <v>273</v>
      </c>
      <c r="E690" t="s">
        <v>261</v>
      </c>
      <c r="F690" t="s">
        <v>262</v>
      </c>
      <c r="G690" t="s">
        <v>269</v>
      </c>
      <c r="H690">
        <v>0</v>
      </c>
      <c r="I690" t="s">
        <v>264</v>
      </c>
      <c r="J690" t="s">
        <v>265</v>
      </c>
      <c r="K690">
        <v>396906</v>
      </c>
      <c r="L690" t="s">
        <v>266</v>
      </c>
      <c r="M690">
        <v>0</v>
      </c>
    </row>
    <row r="691" spans="1:13" x14ac:dyDescent="0.25">
      <c r="A691">
        <v>2009</v>
      </c>
      <c r="B691" t="s">
        <v>259</v>
      </c>
      <c r="C691">
        <v>27037</v>
      </c>
      <c r="D691" t="s">
        <v>273</v>
      </c>
      <c r="E691" t="s">
        <v>261</v>
      </c>
      <c r="F691" t="s">
        <v>268</v>
      </c>
      <c r="G691" t="s">
        <v>263</v>
      </c>
      <c r="H691">
        <v>340.55815143737601</v>
      </c>
      <c r="I691" t="s">
        <v>264</v>
      </c>
      <c r="J691" t="s">
        <v>265</v>
      </c>
      <c r="K691">
        <v>396906</v>
      </c>
      <c r="L691" t="s">
        <v>266</v>
      </c>
      <c r="M691">
        <v>0</v>
      </c>
    </row>
    <row r="692" spans="1:13" x14ac:dyDescent="0.25">
      <c r="A692">
        <v>2009</v>
      </c>
      <c r="B692" t="s">
        <v>259</v>
      </c>
      <c r="C692">
        <v>27037</v>
      </c>
      <c r="D692" t="s">
        <v>273</v>
      </c>
      <c r="E692" t="s">
        <v>261</v>
      </c>
      <c r="F692" t="s">
        <v>268</v>
      </c>
      <c r="G692" t="s">
        <v>267</v>
      </c>
      <c r="H692">
        <v>17643.628377357301</v>
      </c>
      <c r="I692" t="s">
        <v>264</v>
      </c>
      <c r="J692" t="s">
        <v>265</v>
      </c>
      <c r="K692">
        <v>396906</v>
      </c>
      <c r="L692" t="s">
        <v>266</v>
      </c>
      <c r="M692">
        <v>0.04</v>
      </c>
    </row>
    <row r="693" spans="1:13" x14ac:dyDescent="0.25">
      <c r="A693">
        <v>2009</v>
      </c>
      <c r="B693" t="s">
        <v>259</v>
      </c>
      <c r="C693">
        <v>27037</v>
      </c>
      <c r="D693" t="s">
        <v>273</v>
      </c>
      <c r="E693" t="s">
        <v>261</v>
      </c>
      <c r="F693" t="s">
        <v>268</v>
      </c>
      <c r="G693" t="s">
        <v>269</v>
      </c>
      <c r="H693">
        <v>21.099815474319701</v>
      </c>
      <c r="I693" t="s">
        <v>264</v>
      </c>
      <c r="J693" t="s">
        <v>265</v>
      </c>
      <c r="K693">
        <v>396906</v>
      </c>
      <c r="L693" t="s">
        <v>266</v>
      </c>
      <c r="M693">
        <v>0</v>
      </c>
    </row>
    <row r="694" spans="1:13" x14ac:dyDescent="0.25">
      <c r="A694">
        <v>2009</v>
      </c>
      <c r="B694" t="s">
        <v>259</v>
      </c>
      <c r="C694">
        <v>27037</v>
      </c>
      <c r="D694" t="s">
        <v>273</v>
      </c>
      <c r="E694" t="s">
        <v>261</v>
      </c>
      <c r="F694" t="s">
        <v>270</v>
      </c>
      <c r="G694" t="s">
        <v>263</v>
      </c>
      <c r="H694">
        <v>82975.079107852507</v>
      </c>
      <c r="I694" t="s">
        <v>264</v>
      </c>
      <c r="J694" t="s">
        <v>265</v>
      </c>
      <c r="K694">
        <v>396906</v>
      </c>
      <c r="L694" t="s">
        <v>266</v>
      </c>
      <c r="M694">
        <v>0.21</v>
      </c>
    </row>
    <row r="695" spans="1:13" x14ac:dyDescent="0.25">
      <c r="A695">
        <v>2009</v>
      </c>
      <c r="B695" t="s">
        <v>259</v>
      </c>
      <c r="C695">
        <v>27037</v>
      </c>
      <c r="D695" t="s">
        <v>273</v>
      </c>
      <c r="E695" t="s">
        <v>261</v>
      </c>
      <c r="F695" t="s">
        <v>270</v>
      </c>
      <c r="G695" t="s">
        <v>267</v>
      </c>
      <c r="H695">
        <v>372468.546857793</v>
      </c>
      <c r="I695" t="s">
        <v>264</v>
      </c>
      <c r="J695" t="s">
        <v>265</v>
      </c>
      <c r="K695">
        <v>396906</v>
      </c>
      <c r="L695" t="s">
        <v>266</v>
      </c>
      <c r="M695">
        <v>0.94</v>
      </c>
    </row>
    <row r="696" spans="1:13" x14ac:dyDescent="0.25">
      <c r="A696">
        <v>2009</v>
      </c>
      <c r="B696" t="s">
        <v>259</v>
      </c>
      <c r="C696">
        <v>27037</v>
      </c>
      <c r="D696" t="s">
        <v>273</v>
      </c>
      <c r="E696" t="s">
        <v>261</v>
      </c>
      <c r="F696" t="s">
        <v>270</v>
      </c>
      <c r="G696" t="s">
        <v>269</v>
      </c>
      <c r="H696">
        <v>3.3007825970131801</v>
      </c>
      <c r="I696" t="s">
        <v>264</v>
      </c>
      <c r="J696" t="s">
        <v>265</v>
      </c>
      <c r="K696">
        <v>396906</v>
      </c>
      <c r="L696" t="s">
        <v>266</v>
      </c>
      <c r="M696">
        <v>0</v>
      </c>
    </row>
    <row r="697" spans="1:13" x14ac:dyDescent="0.25">
      <c r="A697">
        <v>2009</v>
      </c>
      <c r="B697" t="s">
        <v>259</v>
      </c>
      <c r="C697">
        <v>27053</v>
      </c>
      <c r="D697" t="s">
        <v>274</v>
      </c>
      <c r="E697" t="s">
        <v>261</v>
      </c>
      <c r="F697" t="s">
        <v>262</v>
      </c>
      <c r="G697" t="s">
        <v>263</v>
      </c>
      <c r="H697">
        <v>3766042.7936562798</v>
      </c>
      <c r="I697" t="s">
        <v>264</v>
      </c>
      <c r="J697" t="s">
        <v>265</v>
      </c>
      <c r="K697">
        <v>1146721</v>
      </c>
      <c r="L697" t="s">
        <v>266</v>
      </c>
      <c r="M697">
        <v>3.28</v>
      </c>
    </row>
    <row r="698" spans="1:13" x14ac:dyDescent="0.25">
      <c r="A698">
        <v>2009</v>
      </c>
      <c r="B698" t="s">
        <v>259</v>
      </c>
      <c r="C698">
        <v>27053</v>
      </c>
      <c r="D698" t="s">
        <v>274</v>
      </c>
      <c r="E698" t="s">
        <v>261</v>
      </c>
      <c r="F698" t="s">
        <v>262</v>
      </c>
      <c r="G698" t="s">
        <v>267</v>
      </c>
      <c r="H698">
        <v>54513.9152383783</v>
      </c>
      <c r="I698" t="s">
        <v>264</v>
      </c>
      <c r="J698" t="s">
        <v>265</v>
      </c>
      <c r="K698">
        <v>1146721</v>
      </c>
      <c r="L698" t="s">
        <v>266</v>
      </c>
      <c r="M698">
        <v>0.05</v>
      </c>
    </row>
    <row r="699" spans="1:13" x14ac:dyDescent="0.25">
      <c r="A699">
        <v>2009</v>
      </c>
      <c r="B699" t="s">
        <v>259</v>
      </c>
      <c r="C699">
        <v>27053</v>
      </c>
      <c r="D699" t="s">
        <v>274</v>
      </c>
      <c r="E699" t="s">
        <v>261</v>
      </c>
      <c r="F699" t="s">
        <v>262</v>
      </c>
      <c r="G699" t="s">
        <v>269</v>
      </c>
      <c r="H699">
        <v>0</v>
      </c>
      <c r="I699" t="s">
        <v>264</v>
      </c>
      <c r="J699" t="s">
        <v>265</v>
      </c>
      <c r="K699">
        <v>1146721</v>
      </c>
      <c r="L699" t="s">
        <v>266</v>
      </c>
      <c r="M699">
        <v>0</v>
      </c>
    </row>
    <row r="700" spans="1:13" x14ac:dyDescent="0.25">
      <c r="A700">
        <v>2009</v>
      </c>
      <c r="B700" t="s">
        <v>259</v>
      </c>
      <c r="C700">
        <v>27053</v>
      </c>
      <c r="D700" t="s">
        <v>274</v>
      </c>
      <c r="E700" t="s">
        <v>261</v>
      </c>
      <c r="F700" t="s">
        <v>268</v>
      </c>
      <c r="G700" t="s">
        <v>263</v>
      </c>
      <c r="H700">
        <v>3127.1267001763899</v>
      </c>
      <c r="I700" t="s">
        <v>264</v>
      </c>
      <c r="J700" t="s">
        <v>265</v>
      </c>
      <c r="K700">
        <v>1146721</v>
      </c>
      <c r="L700" t="s">
        <v>266</v>
      </c>
      <c r="M700">
        <v>0</v>
      </c>
    </row>
    <row r="701" spans="1:13" x14ac:dyDescent="0.25">
      <c r="A701">
        <v>2009</v>
      </c>
      <c r="B701" t="s">
        <v>259</v>
      </c>
      <c r="C701">
        <v>27053</v>
      </c>
      <c r="D701" t="s">
        <v>274</v>
      </c>
      <c r="E701" t="s">
        <v>261</v>
      </c>
      <c r="F701" t="s">
        <v>268</v>
      </c>
      <c r="G701" t="s">
        <v>267</v>
      </c>
      <c r="H701">
        <v>47331.609197750302</v>
      </c>
      <c r="I701" t="s">
        <v>264</v>
      </c>
      <c r="J701" t="s">
        <v>265</v>
      </c>
      <c r="K701">
        <v>1146721</v>
      </c>
      <c r="L701" t="s">
        <v>266</v>
      </c>
      <c r="M701">
        <v>0.04</v>
      </c>
    </row>
    <row r="702" spans="1:13" x14ac:dyDescent="0.25">
      <c r="A702">
        <v>2009</v>
      </c>
      <c r="B702" t="s">
        <v>259</v>
      </c>
      <c r="C702">
        <v>27053</v>
      </c>
      <c r="D702" t="s">
        <v>274</v>
      </c>
      <c r="E702" t="s">
        <v>261</v>
      </c>
      <c r="F702" t="s">
        <v>268</v>
      </c>
      <c r="G702" t="s">
        <v>269</v>
      </c>
      <c r="H702">
        <v>20.027011234065299</v>
      </c>
      <c r="I702" t="s">
        <v>264</v>
      </c>
      <c r="J702" t="s">
        <v>265</v>
      </c>
      <c r="K702">
        <v>1146721</v>
      </c>
      <c r="L702" t="s">
        <v>266</v>
      </c>
      <c r="M702">
        <v>0</v>
      </c>
    </row>
    <row r="703" spans="1:13" x14ac:dyDescent="0.25">
      <c r="A703">
        <v>2009</v>
      </c>
      <c r="B703" t="s">
        <v>259</v>
      </c>
      <c r="C703">
        <v>27053</v>
      </c>
      <c r="D703" t="s">
        <v>274</v>
      </c>
      <c r="E703" t="s">
        <v>261</v>
      </c>
      <c r="F703" t="s">
        <v>270</v>
      </c>
      <c r="G703" t="s">
        <v>263</v>
      </c>
      <c r="H703">
        <v>344650.25912756001</v>
      </c>
      <c r="I703" t="s">
        <v>264</v>
      </c>
      <c r="J703" t="s">
        <v>265</v>
      </c>
      <c r="K703">
        <v>1146721</v>
      </c>
      <c r="L703" t="s">
        <v>266</v>
      </c>
      <c r="M703">
        <v>0.3</v>
      </c>
    </row>
    <row r="704" spans="1:13" x14ac:dyDescent="0.25">
      <c r="A704">
        <v>2009</v>
      </c>
      <c r="B704" t="s">
        <v>259</v>
      </c>
      <c r="C704">
        <v>27053</v>
      </c>
      <c r="D704" t="s">
        <v>274</v>
      </c>
      <c r="E704" t="s">
        <v>261</v>
      </c>
      <c r="F704" t="s">
        <v>270</v>
      </c>
      <c r="G704" t="s">
        <v>267</v>
      </c>
      <c r="H704">
        <v>969035.23116165795</v>
      </c>
      <c r="I704" t="s">
        <v>264</v>
      </c>
      <c r="J704" t="s">
        <v>265</v>
      </c>
      <c r="K704">
        <v>1146721</v>
      </c>
      <c r="L704" t="s">
        <v>266</v>
      </c>
      <c r="M704">
        <v>0.85</v>
      </c>
    </row>
    <row r="705" spans="1:13" x14ac:dyDescent="0.25">
      <c r="A705">
        <v>2009</v>
      </c>
      <c r="B705" t="s">
        <v>259</v>
      </c>
      <c r="C705">
        <v>27053</v>
      </c>
      <c r="D705" t="s">
        <v>274</v>
      </c>
      <c r="E705" t="s">
        <v>261</v>
      </c>
      <c r="F705" t="s">
        <v>270</v>
      </c>
      <c r="G705" t="s">
        <v>269</v>
      </c>
      <c r="H705">
        <v>9.0425285442106205</v>
      </c>
      <c r="I705" t="s">
        <v>264</v>
      </c>
      <c r="J705" t="s">
        <v>265</v>
      </c>
      <c r="K705">
        <v>1146721</v>
      </c>
      <c r="L705" t="s">
        <v>266</v>
      </c>
      <c r="M705">
        <v>0</v>
      </c>
    </row>
    <row r="706" spans="1:13" x14ac:dyDescent="0.25">
      <c r="A706">
        <v>2009</v>
      </c>
      <c r="B706" t="s">
        <v>259</v>
      </c>
      <c r="C706">
        <v>27123</v>
      </c>
      <c r="D706" t="s">
        <v>275</v>
      </c>
      <c r="E706" t="s">
        <v>261</v>
      </c>
      <c r="F706" t="s">
        <v>262</v>
      </c>
      <c r="G706" t="s">
        <v>263</v>
      </c>
      <c r="H706">
        <v>1579546.4416426399</v>
      </c>
      <c r="I706" t="s">
        <v>264</v>
      </c>
      <c r="J706" t="s">
        <v>265</v>
      </c>
      <c r="K706">
        <v>506590</v>
      </c>
      <c r="L706" t="s">
        <v>266</v>
      </c>
      <c r="M706">
        <v>3.12</v>
      </c>
    </row>
    <row r="707" spans="1:13" x14ac:dyDescent="0.25">
      <c r="A707">
        <v>2009</v>
      </c>
      <c r="B707" t="s">
        <v>259</v>
      </c>
      <c r="C707">
        <v>27123</v>
      </c>
      <c r="D707" t="s">
        <v>275</v>
      </c>
      <c r="E707" t="s">
        <v>261</v>
      </c>
      <c r="F707" t="s">
        <v>262</v>
      </c>
      <c r="G707" t="s">
        <v>267</v>
      </c>
      <c r="H707">
        <v>20283.806781825799</v>
      </c>
      <c r="I707" t="s">
        <v>264</v>
      </c>
      <c r="J707" t="s">
        <v>265</v>
      </c>
      <c r="K707">
        <v>506590</v>
      </c>
      <c r="L707" t="s">
        <v>266</v>
      </c>
      <c r="M707">
        <v>0.04</v>
      </c>
    </row>
    <row r="708" spans="1:13" x14ac:dyDescent="0.25">
      <c r="A708">
        <v>2009</v>
      </c>
      <c r="B708" t="s">
        <v>259</v>
      </c>
      <c r="C708">
        <v>27123</v>
      </c>
      <c r="D708" t="s">
        <v>275</v>
      </c>
      <c r="E708" t="s">
        <v>261</v>
      </c>
      <c r="F708" t="s">
        <v>262</v>
      </c>
      <c r="G708" t="s">
        <v>269</v>
      </c>
      <c r="H708">
        <v>0</v>
      </c>
      <c r="I708" t="s">
        <v>264</v>
      </c>
      <c r="J708" t="s">
        <v>265</v>
      </c>
      <c r="K708">
        <v>506590</v>
      </c>
      <c r="L708" t="s">
        <v>266</v>
      </c>
      <c r="M708">
        <v>0</v>
      </c>
    </row>
    <row r="709" spans="1:13" x14ac:dyDescent="0.25">
      <c r="A709">
        <v>2009</v>
      </c>
      <c r="B709" t="s">
        <v>259</v>
      </c>
      <c r="C709">
        <v>27123</v>
      </c>
      <c r="D709" t="s">
        <v>275</v>
      </c>
      <c r="E709" t="s">
        <v>261</v>
      </c>
      <c r="F709" t="s">
        <v>268</v>
      </c>
      <c r="G709" t="s">
        <v>263</v>
      </c>
      <c r="H709">
        <v>1615.9742552512801</v>
      </c>
      <c r="I709" t="s">
        <v>264</v>
      </c>
      <c r="J709" t="s">
        <v>265</v>
      </c>
      <c r="K709">
        <v>506590</v>
      </c>
      <c r="L709" t="s">
        <v>266</v>
      </c>
      <c r="M709">
        <v>0</v>
      </c>
    </row>
    <row r="710" spans="1:13" x14ac:dyDescent="0.25">
      <c r="A710">
        <v>2009</v>
      </c>
      <c r="B710" t="s">
        <v>259</v>
      </c>
      <c r="C710">
        <v>27123</v>
      </c>
      <c r="D710" t="s">
        <v>275</v>
      </c>
      <c r="E710" t="s">
        <v>261</v>
      </c>
      <c r="F710" t="s">
        <v>268</v>
      </c>
      <c r="G710" t="s">
        <v>267</v>
      </c>
      <c r="H710">
        <v>18598.651355451799</v>
      </c>
      <c r="I710" t="s">
        <v>264</v>
      </c>
      <c r="J710" t="s">
        <v>265</v>
      </c>
      <c r="K710">
        <v>506590</v>
      </c>
      <c r="L710" t="s">
        <v>266</v>
      </c>
      <c r="M710">
        <v>0.04</v>
      </c>
    </row>
    <row r="711" spans="1:13" x14ac:dyDescent="0.25">
      <c r="A711">
        <v>2009</v>
      </c>
      <c r="B711" t="s">
        <v>259</v>
      </c>
      <c r="C711">
        <v>27123</v>
      </c>
      <c r="D711" t="s">
        <v>275</v>
      </c>
      <c r="E711" t="s">
        <v>261</v>
      </c>
      <c r="F711" t="s">
        <v>268</v>
      </c>
      <c r="G711" t="s">
        <v>269</v>
      </c>
      <c r="H711">
        <v>102.405784402745</v>
      </c>
      <c r="I711" t="s">
        <v>264</v>
      </c>
      <c r="J711" t="s">
        <v>265</v>
      </c>
      <c r="K711">
        <v>506590</v>
      </c>
      <c r="L711" t="s">
        <v>266</v>
      </c>
      <c r="M711">
        <v>0</v>
      </c>
    </row>
    <row r="712" spans="1:13" x14ac:dyDescent="0.25">
      <c r="A712">
        <v>2009</v>
      </c>
      <c r="B712" t="s">
        <v>259</v>
      </c>
      <c r="C712">
        <v>27123</v>
      </c>
      <c r="D712" t="s">
        <v>275</v>
      </c>
      <c r="E712" t="s">
        <v>261</v>
      </c>
      <c r="F712" t="s">
        <v>270</v>
      </c>
      <c r="G712" t="s">
        <v>263</v>
      </c>
      <c r="H712">
        <v>141246.73558308699</v>
      </c>
      <c r="I712" t="s">
        <v>264</v>
      </c>
      <c r="J712" t="s">
        <v>265</v>
      </c>
      <c r="K712">
        <v>506590</v>
      </c>
      <c r="L712" t="s">
        <v>266</v>
      </c>
      <c r="M712">
        <v>0.28000000000000003</v>
      </c>
    </row>
    <row r="713" spans="1:13" x14ac:dyDescent="0.25">
      <c r="A713">
        <v>2009</v>
      </c>
      <c r="B713" t="s">
        <v>259</v>
      </c>
      <c r="C713">
        <v>27123</v>
      </c>
      <c r="D713" t="s">
        <v>275</v>
      </c>
      <c r="E713" t="s">
        <v>261</v>
      </c>
      <c r="F713" t="s">
        <v>270</v>
      </c>
      <c r="G713" t="s">
        <v>267</v>
      </c>
      <c r="H713">
        <v>407022.93925861799</v>
      </c>
      <c r="I713" t="s">
        <v>264</v>
      </c>
      <c r="J713" t="s">
        <v>265</v>
      </c>
      <c r="K713">
        <v>506590</v>
      </c>
      <c r="L713" t="s">
        <v>266</v>
      </c>
      <c r="M713">
        <v>0.8</v>
      </c>
    </row>
    <row r="714" spans="1:13" x14ac:dyDescent="0.25">
      <c r="A714">
        <v>2009</v>
      </c>
      <c r="B714" t="s">
        <v>259</v>
      </c>
      <c r="C714">
        <v>27123</v>
      </c>
      <c r="D714" t="s">
        <v>275</v>
      </c>
      <c r="E714" t="s">
        <v>261</v>
      </c>
      <c r="F714" t="s">
        <v>270</v>
      </c>
      <c r="G714" t="s">
        <v>269</v>
      </c>
      <c r="H714">
        <v>6.8415293697982396</v>
      </c>
      <c r="I714" t="s">
        <v>264</v>
      </c>
      <c r="J714" t="s">
        <v>265</v>
      </c>
      <c r="K714">
        <v>506590</v>
      </c>
      <c r="L714" t="s">
        <v>266</v>
      </c>
      <c r="M714">
        <v>0</v>
      </c>
    </row>
    <row r="715" spans="1:13" x14ac:dyDescent="0.25">
      <c r="A715">
        <v>2009</v>
      </c>
      <c r="B715" t="s">
        <v>259</v>
      </c>
      <c r="C715">
        <v>27139</v>
      </c>
      <c r="D715" t="s">
        <v>276</v>
      </c>
      <c r="E715" t="s">
        <v>261</v>
      </c>
      <c r="F715" t="s">
        <v>262</v>
      </c>
      <c r="G715" t="s">
        <v>263</v>
      </c>
      <c r="H715">
        <v>477621.752016732</v>
      </c>
      <c r="I715" t="s">
        <v>264</v>
      </c>
      <c r="J715" t="s">
        <v>265</v>
      </c>
      <c r="K715">
        <v>128530</v>
      </c>
      <c r="L715" t="s">
        <v>266</v>
      </c>
      <c r="M715">
        <v>3.72</v>
      </c>
    </row>
    <row r="716" spans="1:13" x14ac:dyDescent="0.25">
      <c r="A716">
        <v>2009</v>
      </c>
      <c r="B716" t="s">
        <v>259</v>
      </c>
      <c r="C716">
        <v>27139</v>
      </c>
      <c r="D716" t="s">
        <v>276</v>
      </c>
      <c r="E716" t="s">
        <v>261</v>
      </c>
      <c r="F716" t="s">
        <v>262</v>
      </c>
      <c r="G716" t="s">
        <v>267</v>
      </c>
      <c r="H716">
        <v>19320.807131444701</v>
      </c>
      <c r="I716" t="s">
        <v>264</v>
      </c>
      <c r="J716" t="s">
        <v>265</v>
      </c>
      <c r="K716">
        <v>128530</v>
      </c>
      <c r="L716" t="s">
        <v>266</v>
      </c>
      <c r="M716">
        <v>0.15</v>
      </c>
    </row>
    <row r="717" spans="1:13" x14ac:dyDescent="0.25">
      <c r="A717">
        <v>2009</v>
      </c>
      <c r="B717" t="s">
        <v>259</v>
      </c>
      <c r="C717">
        <v>27139</v>
      </c>
      <c r="D717" t="s">
        <v>276</v>
      </c>
      <c r="E717" t="s">
        <v>261</v>
      </c>
      <c r="F717" t="s">
        <v>262</v>
      </c>
      <c r="G717" t="s">
        <v>269</v>
      </c>
      <c r="H717">
        <v>0</v>
      </c>
      <c r="I717" t="s">
        <v>264</v>
      </c>
      <c r="J717" t="s">
        <v>265</v>
      </c>
      <c r="K717">
        <v>128530</v>
      </c>
      <c r="L717" t="s">
        <v>266</v>
      </c>
      <c r="M717">
        <v>0</v>
      </c>
    </row>
    <row r="718" spans="1:13" x14ac:dyDescent="0.25">
      <c r="A718">
        <v>2009</v>
      </c>
      <c r="B718" t="s">
        <v>259</v>
      </c>
      <c r="C718">
        <v>27139</v>
      </c>
      <c r="D718" t="s">
        <v>276</v>
      </c>
      <c r="E718" t="s">
        <v>261</v>
      </c>
      <c r="F718" t="s">
        <v>268</v>
      </c>
      <c r="G718" t="s">
        <v>263</v>
      </c>
      <c r="H718">
        <v>246.450429280386</v>
      </c>
      <c r="I718" t="s">
        <v>264</v>
      </c>
      <c r="J718" t="s">
        <v>265</v>
      </c>
      <c r="K718">
        <v>128530</v>
      </c>
      <c r="L718" t="s">
        <v>266</v>
      </c>
      <c r="M718">
        <v>0</v>
      </c>
    </row>
    <row r="719" spans="1:13" x14ac:dyDescent="0.25">
      <c r="A719">
        <v>2009</v>
      </c>
      <c r="B719" t="s">
        <v>259</v>
      </c>
      <c r="C719">
        <v>27139</v>
      </c>
      <c r="D719" t="s">
        <v>276</v>
      </c>
      <c r="E719" t="s">
        <v>261</v>
      </c>
      <c r="F719" t="s">
        <v>268</v>
      </c>
      <c r="G719" t="s">
        <v>267</v>
      </c>
      <c r="H719">
        <v>5729.6539876500101</v>
      </c>
      <c r="I719" t="s">
        <v>264</v>
      </c>
      <c r="J719" t="s">
        <v>265</v>
      </c>
      <c r="K719">
        <v>128530</v>
      </c>
      <c r="L719" t="s">
        <v>266</v>
      </c>
      <c r="M719">
        <v>0.04</v>
      </c>
    </row>
    <row r="720" spans="1:13" x14ac:dyDescent="0.25">
      <c r="A720">
        <v>2009</v>
      </c>
      <c r="B720" t="s">
        <v>259</v>
      </c>
      <c r="C720">
        <v>27139</v>
      </c>
      <c r="D720" t="s">
        <v>276</v>
      </c>
      <c r="E720" t="s">
        <v>261</v>
      </c>
      <c r="F720" t="s">
        <v>268</v>
      </c>
      <c r="G720" t="s">
        <v>269</v>
      </c>
      <c r="H720">
        <v>85.881731867018601</v>
      </c>
      <c r="I720" t="s">
        <v>264</v>
      </c>
      <c r="J720" t="s">
        <v>265</v>
      </c>
      <c r="K720">
        <v>128530</v>
      </c>
      <c r="L720" t="s">
        <v>266</v>
      </c>
      <c r="M720">
        <v>0</v>
      </c>
    </row>
    <row r="721" spans="1:13" x14ac:dyDescent="0.25">
      <c r="A721">
        <v>2009</v>
      </c>
      <c r="B721" t="s">
        <v>259</v>
      </c>
      <c r="C721">
        <v>27139</v>
      </c>
      <c r="D721" t="s">
        <v>276</v>
      </c>
      <c r="E721" t="s">
        <v>261</v>
      </c>
      <c r="F721" t="s">
        <v>270</v>
      </c>
      <c r="G721" t="s">
        <v>263</v>
      </c>
      <c r="H721">
        <v>28242.4946788464</v>
      </c>
      <c r="I721" t="s">
        <v>264</v>
      </c>
      <c r="J721" t="s">
        <v>265</v>
      </c>
      <c r="K721">
        <v>128530</v>
      </c>
      <c r="L721" t="s">
        <v>266</v>
      </c>
      <c r="M721">
        <v>0.22</v>
      </c>
    </row>
    <row r="722" spans="1:13" x14ac:dyDescent="0.25">
      <c r="A722">
        <v>2009</v>
      </c>
      <c r="B722" t="s">
        <v>259</v>
      </c>
      <c r="C722">
        <v>27139</v>
      </c>
      <c r="D722" t="s">
        <v>276</v>
      </c>
      <c r="E722" t="s">
        <v>261</v>
      </c>
      <c r="F722" t="s">
        <v>270</v>
      </c>
      <c r="G722" t="s">
        <v>267</v>
      </c>
      <c r="H722">
        <v>122211.00707997099</v>
      </c>
      <c r="I722" t="s">
        <v>264</v>
      </c>
      <c r="J722" t="s">
        <v>265</v>
      </c>
      <c r="K722">
        <v>128530</v>
      </c>
      <c r="L722" t="s">
        <v>266</v>
      </c>
      <c r="M722">
        <v>0.95</v>
      </c>
    </row>
    <row r="723" spans="1:13" x14ac:dyDescent="0.25">
      <c r="A723">
        <v>2009</v>
      </c>
      <c r="B723" t="s">
        <v>259</v>
      </c>
      <c r="C723">
        <v>27139</v>
      </c>
      <c r="D723" t="s">
        <v>276</v>
      </c>
      <c r="E723" t="s">
        <v>261</v>
      </c>
      <c r="F723" t="s">
        <v>270</v>
      </c>
      <c r="G723" t="s">
        <v>269</v>
      </c>
      <c r="H723">
        <v>0.99675149252402695</v>
      </c>
      <c r="I723" t="s">
        <v>264</v>
      </c>
      <c r="J723" t="s">
        <v>265</v>
      </c>
      <c r="K723">
        <v>128530</v>
      </c>
      <c r="L723" t="s">
        <v>266</v>
      </c>
      <c r="M723">
        <v>0</v>
      </c>
    </row>
    <row r="724" spans="1:13" x14ac:dyDescent="0.25">
      <c r="A724">
        <v>2009</v>
      </c>
      <c r="B724" t="s">
        <v>259</v>
      </c>
      <c r="C724">
        <v>27141</v>
      </c>
      <c r="D724" t="s">
        <v>277</v>
      </c>
      <c r="E724" t="s">
        <v>261</v>
      </c>
      <c r="F724" t="s">
        <v>262</v>
      </c>
      <c r="G724" t="s">
        <v>263</v>
      </c>
      <c r="H724">
        <v>318872.71161246003</v>
      </c>
      <c r="I724" t="s">
        <v>264</v>
      </c>
      <c r="J724" t="s">
        <v>265</v>
      </c>
      <c r="K724">
        <v>87880</v>
      </c>
      <c r="L724" t="s">
        <v>266</v>
      </c>
      <c r="M724">
        <v>3.63</v>
      </c>
    </row>
    <row r="725" spans="1:13" x14ac:dyDescent="0.25">
      <c r="A725">
        <v>2009</v>
      </c>
      <c r="B725" t="s">
        <v>259</v>
      </c>
      <c r="C725">
        <v>27141</v>
      </c>
      <c r="D725" t="s">
        <v>277</v>
      </c>
      <c r="E725" t="s">
        <v>261</v>
      </c>
      <c r="F725" t="s">
        <v>262</v>
      </c>
      <c r="G725" t="s">
        <v>267</v>
      </c>
      <c r="H725">
        <v>17906.9101833602</v>
      </c>
      <c r="I725" t="s">
        <v>264</v>
      </c>
      <c r="J725" t="s">
        <v>265</v>
      </c>
      <c r="K725">
        <v>87880</v>
      </c>
      <c r="L725" t="s">
        <v>266</v>
      </c>
      <c r="M725">
        <v>0.2</v>
      </c>
    </row>
    <row r="726" spans="1:13" x14ac:dyDescent="0.25">
      <c r="A726">
        <v>2009</v>
      </c>
      <c r="B726" t="s">
        <v>259</v>
      </c>
      <c r="C726">
        <v>27141</v>
      </c>
      <c r="D726" t="s">
        <v>277</v>
      </c>
      <c r="E726" t="s">
        <v>261</v>
      </c>
      <c r="F726" t="s">
        <v>262</v>
      </c>
      <c r="G726" t="s">
        <v>269</v>
      </c>
      <c r="H726">
        <v>0</v>
      </c>
      <c r="I726" t="s">
        <v>264</v>
      </c>
      <c r="J726" t="s">
        <v>265</v>
      </c>
      <c r="K726">
        <v>87880</v>
      </c>
      <c r="L726" t="s">
        <v>266</v>
      </c>
      <c r="M726">
        <v>0</v>
      </c>
    </row>
    <row r="727" spans="1:13" x14ac:dyDescent="0.25">
      <c r="A727">
        <v>2009</v>
      </c>
      <c r="B727" t="s">
        <v>259</v>
      </c>
      <c r="C727">
        <v>27141</v>
      </c>
      <c r="D727" t="s">
        <v>277</v>
      </c>
      <c r="E727" t="s">
        <v>261</v>
      </c>
      <c r="F727" t="s">
        <v>268</v>
      </c>
      <c r="G727" t="s">
        <v>263</v>
      </c>
      <c r="H727">
        <v>187.888254297743</v>
      </c>
      <c r="I727" t="s">
        <v>264</v>
      </c>
      <c r="J727" t="s">
        <v>265</v>
      </c>
      <c r="K727">
        <v>87880</v>
      </c>
      <c r="L727" t="s">
        <v>266</v>
      </c>
      <c r="M727">
        <v>0</v>
      </c>
    </row>
    <row r="728" spans="1:13" x14ac:dyDescent="0.25">
      <c r="A728">
        <v>2009</v>
      </c>
      <c r="B728" t="s">
        <v>259</v>
      </c>
      <c r="C728">
        <v>27141</v>
      </c>
      <c r="D728" t="s">
        <v>277</v>
      </c>
      <c r="E728" t="s">
        <v>261</v>
      </c>
      <c r="F728" t="s">
        <v>268</v>
      </c>
      <c r="G728" t="s">
        <v>267</v>
      </c>
      <c r="H728">
        <v>3635.7123167099198</v>
      </c>
      <c r="I728" t="s">
        <v>264</v>
      </c>
      <c r="J728" t="s">
        <v>265</v>
      </c>
      <c r="K728">
        <v>87880</v>
      </c>
      <c r="L728" t="s">
        <v>266</v>
      </c>
      <c r="M728">
        <v>0.04</v>
      </c>
    </row>
    <row r="729" spans="1:13" x14ac:dyDescent="0.25">
      <c r="A729">
        <v>2009</v>
      </c>
      <c r="B729" t="s">
        <v>259</v>
      </c>
      <c r="C729">
        <v>27141</v>
      </c>
      <c r="D729" t="s">
        <v>277</v>
      </c>
      <c r="E729" t="s">
        <v>261</v>
      </c>
      <c r="F729" t="s">
        <v>268</v>
      </c>
      <c r="G729" t="s">
        <v>269</v>
      </c>
      <c r="H729">
        <v>57.551555736010798</v>
      </c>
      <c r="I729" t="s">
        <v>264</v>
      </c>
      <c r="J729" t="s">
        <v>265</v>
      </c>
      <c r="K729">
        <v>87880</v>
      </c>
      <c r="L729" t="s">
        <v>266</v>
      </c>
      <c r="M729">
        <v>0</v>
      </c>
    </row>
    <row r="730" spans="1:13" x14ac:dyDescent="0.25">
      <c r="A730">
        <v>2009</v>
      </c>
      <c r="B730" t="s">
        <v>259</v>
      </c>
      <c r="C730">
        <v>27141</v>
      </c>
      <c r="D730" t="s">
        <v>277</v>
      </c>
      <c r="E730" t="s">
        <v>261</v>
      </c>
      <c r="F730" t="s">
        <v>270</v>
      </c>
      <c r="G730" t="s">
        <v>263</v>
      </c>
      <c r="H730">
        <v>17941.7650023278</v>
      </c>
      <c r="I730" t="s">
        <v>264</v>
      </c>
      <c r="J730" t="s">
        <v>265</v>
      </c>
      <c r="K730">
        <v>87880</v>
      </c>
      <c r="L730" t="s">
        <v>266</v>
      </c>
      <c r="M730">
        <v>0.2</v>
      </c>
    </row>
    <row r="731" spans="1:13" x14ac:dyDescent="0.25">
      <c r="A731">
        <v>2009</v>
      </c>
      <c r="B731" t="s">
        <v>259</v>
      </c>
      <c r="C731">
        <v>27141</v>
      </c>
      <c r="D731" t="s">
        <v>277</v>
      </c>
      <c r="E731" t="s">
        <v>261</v>
      </c>
      <c r="F731" t="s">
        <v>270</v>
      </c>
      <c r="G731" t="s">
        <v>267</v>
      </c>
      <c r="H731">
        <v>81791.610255144798</v>
      </c>
      <c r="I731" t="s">
        <v>264</v>
      </c>
      <c r="J731" t="s">
        <v>265</v>
      </c>
      <c r="K731">
        <v>87880</v>
      </c>
      <c r="L731" t="s">
        <v>266</v>
      </c>
      <c r="M731">
        <v>0.93</v>
      </c>
    </row>
    <row r="732" spans="1:13" x14ac:dyDescent="0.25">
      <c r="A732">
        <v>2009</v>
      </c>
      <c r="B732" t="s">
        <v>259</v>
      </c>
      <c r="C732">
        <v>27141</v>
      </c>
      <c r="D732" t="s">
        <v>277</v>
      </c>
      <c r="E732" t="s">
        <v>261</v>
      </c>
      <c r="F732" t="s">
        <v>270</v>
      </c>
      <c r="G732" t="s">
        <v>269</v>
      </c>
      <c r="H732">
        <v>0.66060317006032199</v>
      </c>
      <c r="I732" t="s">
        <v>264</v>
      </c>
      <c r="J732" t="s">
        <v>265</v>
      </c>
      <c r="K732">
        <v>87880</v>
      </c>
      <c r="L732" t="s">
        <v>266</v>
      </c>
      <c r="M732">
        <v>0</v>
      </c>
    </row>
    <row r="733" spans="1:13" x14ac:dyDescent="0.25">
      <c r="A733">
        <v>2009</v>
      </c>
      <c r="B733" t="s">
        <v>259</v>
      </c>
      <c r="C733">
        <v>27163</v>
      </c>
      <c r="D733" t="s">
        <v>278</v>
      </c>
      <c r="E733" t="s">
        <v>261</v>
      </c>
      <c r="F733" t="s">
        <v>262</v>
      </c>
      <c r="G733" t="s">
        <v>263</v>
      </c>
      <c r="H733">
        <v>838498.43288302503</v>
      </c>
      <c r="I733" t="s">
        <v>264</v>
      </c>
      <c r="J733" t="s">
        <v>265</v>
      </c>
      <c r="K733">
        <v>235684</v>
      </c>
      <c r="L733" t="s">
        <v>266</v>
      </c>
      <c r="M733">
        <v>3.56</v>
      </c>
    </row>
    <row r="734" spans="1:13" x14ac:dyDescent="0.25">
      <c r="A734">
        <v>2009</v>
      </c>
      <c r="B734" t="s">
        <v>259</v>
      </c>
      <c r="C734">
        <v>27163</v>
      </c>
      <c r="D734" t="s">
        <v>278</v>
      </c>
      <c r="E734" t="s">
        <v>261</v>
      </c>
      <c r="F734" t="s">
        <v>262</v>
      </c>
      <c r="G734" t="s">
        <v>267</v>
      </c>
      <c r="H734">
        <v>27069.430729489599</v>
      </c>
      <c r="I734" t="s">
        <v>264</v>
      </c>
      <c r="J734" t="s">
        <v>265</v>
      </c>
      <c r="K734">
        <v>235684</v>
      </c>
      <c r="L734" t="s">
        <v>266</v>
      </c>
      <c r="M734">
        <v>0.11</v>
      </c>
    </row>
    <row r="735" spans="1:13" x14ac:dyDescent="0.25">
      <c r="A735">
        <v>2009</v>
      </c>
      <c r="B735" t="s">
        <v>259</v>
      </c>
      <c r="C735">
        <v>27163</v>
      </c>
      <c r="D735" t="s">
        <v>278</v>
      </c>
      <c r="E735" t="s">
        <v>261</v>
      </c>
      <c r="F735" t="s">
        <v>262</v>
      </c>
      <c r="G735" t="s">
        <v>269</v>
      </c>
      <c r="H735">
        <v>0</v>
      </c>
      <c r="I735" t="s">
        <v>264</v>
      </c>
      <c r="J735" t="s">
        <v>265</v>
      </c>
      <c r="K735">
        <v>235684</v>
      </c>
      <c r="L735" t="s">
        <v>266</v>
      </c>
      <c r="M735">
        <v>0</v>
      </c>
    </row>
    <row r="736" spans="1:13" x14ac:dyDescent="0.25">
      <c r="A736">
        <v>2009</v>
      </c>
      <c r="B736" t="s">
        <v>259</v>
      </c>
      <c r="C736">
        <v>27163</v>
      </c>
      <c r="D736" t="s">
        <v>278</v>
      </c>
      <c r="E736" t="s">
        <v>261</v>
      </c>
      <c r="F736" t="s">
        <v>268</v>
      </c>
      <c r="G736" t="s">
        <v>263</v>
      </c>
      <c r="H736">
        <v>443.58514904414398</v>
      </c>
      <c r="I736" t="s">
        <v>264</v>
      </c>
      <c r="J736" t="s">
        <v>265</v>
      </c>
      <c r="K736">
        <v>235684</v>
      </c>
      <c r="L736" t="s">
        <v>266</v>
      </c>
      <c r="M736">
        <v>0</v>
      </c>
    </row>
    <row r="737" spans="1:13" x14ac:dyDescent="0.25">
      <c r="A737">
        <v>2009</v>
      </c>
      <c r="B737" t="s">
        <v>259</v>
      </c>
      <c r="C737">
        <v>27163</v>
      </c>
      <c r="D737" t="s">
        <v>278</v>
      </c>
      <c r="E737" t="s">
        <v>261</v>
      </c>
      <c r="F737" t="s">
        <v>268</v>
      </c>
      <c r="G737" t="s">
        <v>267</v>
      </c>
      <c r="H737">
        <v>9970.0513422213007</v>
      </c>
      <c r="I737" t="s">
        <v>264</v>
      </c>
      <c r="J737" t="s">
        <v>265</v>
      </c>
      <c r="K737">
        <v>235684</v>
      </c>
      <c r="L737" t="s">
        <v>266</v>
      </c>
      <c r="M737">
        <v>0.04</v>
      </c>
    </row>
    <row r="738" spans="1:13" x14ac:dyDescent="0.25">
      <c r="A738">
        <v>2009</v>
      </c>
      <c r="B738" t="s">
        <v>259</v>
      </c>
      <c r="C738">
        <v>27163</v>
      </c>
      <c r="D738" t="s">
        <v>278</v>
      </c>
      <c r="E738" t="s">
        <v>261</v>
      </c>
      <c r="F738" t="s">
        <v>268</v>
      </c>
      <c r="G738" t="s">
        <v>269</v>
      </c>
      <c r="H738">
        <v>214.32974811762199</v>
      </c>
      <c r="I738" t="s">
        <v>264</v>
      </c>
      <c r="J738" t="s">
        <v>265</v>
      </c>
      <c r="K738">
        <v>235684</v>
      </c>
      <c r="L738" t="s">
        <v>266</v>
      </c>
      <c r="M738">
        <v>0</v>
      </c>
    </row>
    <row r="739" spans="1:13" x14ac:dyDescent="0.25">
      <c r="A739">
        <v>2009</v>
      </c>
      <c r="B739" t="s">
        <v>259</v>
      </c>
      <c r="C739">
        <v>27163</v>
      </c>
      <c r="D739" t="s">
        <v>278</v>
      </c>
      <c r="E739" t="s">
        <v>261</v>
      </c>
      <c r="F739" t="s">
        <v>270</v>
      </c>
      <c r="G739" t="s">
        <v>263</v>
      </c>
      <c r="H739">
        <v>39660.665866754403</v>
      </c>
      <c r="I739" t="s">
        <v>264</v>
      </c>
      <c r="J739" t="s">
        <v>265</v>
      </c>
      <c r="K739">
        <v>235684</v>
      </c>
      <c r="L739" t="s">
        <v>266</v>
      </c>
      <c r="M739">
        <v>0.17</v>
      </c>
    </row>
    <row r="740" spans="1:13" x14ac:dyDescent="0.25">
      <c r="A740">
        <v>2009</v>
      </c>
      <c r="B740" t="s">
        <v>259</v>
      </c>
      <c r="C740">
        <v>27163</v>
      </c>
      <c r="D740" t="s">
        <v>278</v>
      </c>
      <c r="E740" t="s">
        <v>261</v>
      </c>
      <c r="F740" t="s">
        <v>270</v>
      </c>
      <c r="G740" t="s">
        <v>267</v>
      </c>
      <c r="H740">
        <v>216769.21101999399</v>
      </c>
      <c r="I740" t="s">
        <v>264</v>
      </c>
      <c r="J740" t="s">
        <v>265</v>
      </c>
      <c r="K740">
        <v>235684</v>
      </c>
      <c r="L740" t="s">
        <v>266</v>
      </c>
      <c r="M740">
        <v>0.92</v>
      </c>
    </row>
    <row r="741" spans="1:13" x14ac:dyDescent="0.25">
      <c r="A741">
        <v>2009</v>
      </c>
      <c r="B741" t="s">
        <v>259</v>
      </c>
      <c r="C741">
        <v>27163</v>
      </c>
      <c r="D741" t="s">
        <v>278</v>
      </c>
      <c r="E741" t="s">
        <v>261</v>
      </c>
      <c r="F741" t="s">
        <v>270</v>
      </c>
      <c r="G741" t="s">
        <v>269</v>
      </c>
      <c r="H741">
        <v>2.0296222215245501</v>
      </c>
      <c r="I741" t="s">
        <v>264</v>
      </c>
      <c r="J741" t="s">
        <v>265</v>
      </c>
      <c r="K741">
        <v>235684</v>
      </c>
      <c r="L741" t="s">
        <v>266</v>
      </c>
      <c r="M741">
        <v>0</v>
      </c>
    </row>
    <row r="742" spans="1:13" x14ac:dyDescent="0.25">
      <c r="A742">
        <v>2009</v>
      </c>
      <c r="B742" t="s">
        <v>259</v>
      </c>
      <c r="C742">
        <v>55093</v>
      </c>
      <c r="D742" t="s">
        <v>279</v>
      </c>
      <c r="E742" t="s">
        <v>261</v>
      </c>
      <c r="F742" t="s">
        <v>262</v>
      </c>
      <c r="G742" t="s">
        <v>263</v>
      </c>
      <c r="H742">
        <v>128510.62924742</v>
      </c>
      <c r="I742" t="s">
        <v>264</v>
      </c>
      <c r="J742" t="s">
        <v>265</v>
      </c>
      <c r="K742">
        <v>40613</v>
      </c>
      <c r="L742" t="s">
        <v>266</v>
      </c>
      <c r="M742">
        <v>3.16</v>
      </c>
    </row>
    <row r="743" spans="1:13" x14ac:dyDescent="0.25">
      <c r="A743">
        <v>2009</v>
      </c>
      <c r="B743" t="s">
        <v>259</v>
      </c>
      <c r="C743">
        <v>55093</v>
      </c>
      <c r="D743" t="s">
        <v>279</v>
      </c>
      <c r="E743" t="s">
        <v>261</v>
      </c>
      <c r="F743" t="s">
        <v>262</v>
      </c>
      <c r="G743" t="s">
        <v>267</v>
      </c>
      <c r="H743">
        <v>7981.3886588025898</v>
      </c>
      <c r="I743" t="s">
        <v>264</v>
      </c>
      <c r="J743" t="s">
        <v>265</v>
      </c>
      <c r="K743">
        <v>40613</v>
      </c>
      <c r="L743" t="s">
        <v>266</v>
      </c>
      <c r="M743">
        <v>0.2</v>
      </c>
    </row>
    <row r="744" spans="1:13" x14ac:dyDescent="0.25">
      <c r="A744">
        <v>2009</v>
      </c>
      <c r="B744" t="s">
        <v>259</v>
      </c>
      <c r="C744">
        <v>55093</v>
      </c>
      <c r="D744" t="s">
        <v>279</v>
      </c>
      <c r="E744" t="s">
        <v>261</v>
      </c>
      <c r="F744" t="s">
        <v>262</v>
      </c>
      <c r="G744" t="s">
        <v>269</v>
      </c>
      <c r="H744">
        <v>0</v>
      </c>
      <c r="I744" t="s">
        <v>264</v>
      </c>
      <c r="J744" t="s">
        <v>265</v>
      </c>
      <c r="K744">
        <v>40613</v>
      </c>
      <c r="L744" t="s">
        <v>266</v>
      </c>
      <c r="M744">
        <v>0</v>
      </c>
    </row>
    <row r="745" spans="1:13" x14ac:dyDescent="0.25">
      <c r="A745">
        <v>2009</v>
      </c>
      <c r="B745" t="s">
        <v>259</v>
      </c>
      <c r="C745">
        <v>55093</v>
      </c>
      <c r="D745" t="s">
        <v>279</v>
      </c>
      <c r="E745" t="s">
        <v>261</v>
      </c>
      <c r="F745" t="s">
        <v>268</v>
      </c>
      <c r="G745" t="s">
        <v>263</v>
      </c>
      <c r="H745">
        <v>113.638779699642</v>
      </c>
      <c r="I745" t="s">
        <v>264</v>
      </c>
      <c r="J745" t="s">
        <v>265</v>
      </c>
      <c r="K745">
        <v>40613</v>
      </c>
      <c r="L745" t="s">
        <v>266</v>
      </c>
      <c r="M745">
        <v>0</v>
      </c>
    </row>
    <row r="746" spans="1:13" x14ac:dyDescent="0.25">
      <c r="A746">
        <v>2009</v>
      </c>
      <c r="B746" t="s">
        <v>259</v>
      </c>
      <c r="C746">
        <v>55093</v>
      </c>
      <c r="D746" t="s">
        <v>279</v>
      </c>
      <c r="E746" t="s">
        <v>261</v>
      </c>
      <c r="F746" t="s">
        <v>268</v>
      </c>
      <c r="G746" t="s">
        <v>267</v>
      </c>
      <c r="H746">
        <v>1983.65251368893</v>
      </c>
      <c r="I746" t="s">
        <v>264</v>
      </c>
      <c r="J746" t="s">
        <v>265</v>
      </c>
      <c r="K746">
        <v>40613</v>
      </c>
      <c r="L746" t="s">
        <v>266</v>
      </c>
      <c r="M746">
        <v>0.05</v>
      </c>
    </row>
    <row r="747" spans="1:13" x14ac:dyDescent="0.25">
      <c r="A747">
        <v>2009</v>
      </c>
      <c r="B747" t="s">
        <v>259</v>
      </c>
      <c r="C747">
        <v>55093</v>
      </c>
      <c r="D747" t="s">
        <v>279</v>
      </c>
      <c r="E747" t="s">
        <v>261</v>
      </c>
      <c r="F747" t="s">
        <v>268</v>
      </c>
      <c r="G747" t="s">
        <v>269</v>
      </c>
      <c r="H747">
        <v>43.832144051712703</v>
      </c>
      <c r="I747" t="s">
        <v>264</v>
      </c>
      <c r="J747" t="s">
        <v>265</v>
      </c>
      <c r="K747">
        <v>40613</v>
      </c>
      <c r="L747" t="s">
        <v>266</v>
      </c>
      <c r="M747">
        <v>0</v>
      </c>
    </row>
    <row r="748" spans="1:13" x14ac:dyDescent="0.25">
      <c r="A748">
        <v>2009</v>
      </c>
      <c r="B748" t="s">
        <v>259</v>
      </c>
      <c r="C748">
        <v>55093</v>
      </c>
      <c r="D748" t="s">
        <v>279</v>
      </c>
      <c r="E748" t="s">
        <v>261</v>
      </c>
      <c r="F748" t="s">
        <v>270</v>
      </c>
      <c r="G748" t="s">
        <v>263</v>
      </c>
      <c r="H748">
        <v>7268.4039300465802</v>
      </c>
      <c r="I748" t="s">
        <v>264</v>
      </c>
      <c r="J748" t="s">
        <v>265</v>
      </c>
      <c r="K748">
        <v>40613</v>
      </c>
      <c r="L748" t="s">
        <v>266</v>
      </c>
      <c r="M748">
        <v>0.18</v>
      </c>
    </row>
    <row r="749" spans="1:13" x14ac:dyDescent="0.25">
      <c r="A749">
        <v>2009</v>
      </c>
      <c r="B749" t="s">
        <v>259</v>
      </c>
      <c r="C749">
        <v>55093</v>
      </c>
      <c r="D749" t="s">
        <v>279</v>
      </c>
      <c r="E749" t="s">
        <v>261</v>
      </c>
      <c r="F749" t="s">
        <v>270</v>
      </c>
      <c r="G749" t="s">
        <v>267</v>
      </c>
      <c r="H749">
        <v>19380.432699100998</v>
      </c>
      <c r="I749" t="s">
        <v>264</v>
      </c>
      <c r="J749" t="s">
        <v>265</v>
      </c>
      <c r="K749">
        <v>40613</v>
      </c>
      <c r="L749" t="s">
        <v>266</v>
      </c>
      <c r="M749">
        <v>0.48</v>
      </c>
    </row>
    <row r="750" spans="1:13" x14ac:dyDescent="0.25">
      <c r="A750">
        <v>2009</v>
      </c>
      <c r="B750" t="s">
        <v>259</v>
      </c>
      <c r="C750">
        <v>55093</v>
      </c>
      <c r="D750" t="s">
        <v>279</v>
      </c>
      <c r="E750" t="s">
        <v>261</v>
      </c>
      <c r="F750" t="s">
        <v>270</v>
      </c>
      <c r="G750" t="s">
        <v>269</v>
      </c>
      <c r="H750">
        <v>0.68444245152243799</v>
      </c>
      <c r="I750" t="s">
        <v>264</v>
      </c>
      <c r="J750" t="s">
        <v>265</v>
      </c>
      <c r="K750">
        <v>40613</v>
      </c>
      <c r="L750" t="s">
        <v>266</v>
      </c>
      <c r="M750">
        <v>0</v>
      </c>
    </row>
    <row r="751" spans="1:13" x14ac:dyDescent="0.25">
      <c r="A751">
        <v>2009</v>
      </c>
      <c r="B751" t="s">
        <v>259</v>
      </c>
      <c r="C751">
        <v>55109</v>
      </c>
      <c r="D751" t="s">
        <v>280</v>
      </c>
      <c r="E751" t="s">
        <v>261</v>
      </c>
      <c r="F751" t="s">
        <v>262</v>
      </c>
      <c r="G751" t="s">
        <v>263</v>
      </c>
      <c r="H751">
        <v>407978.83580823703</v>
      </c>
      <c r="I751" t="s">
        <v>264</v>
      </c>
      <c r="J751" t="s">
        <v>265</v>
      </c>
      <c r="K751">
        <v>84055</v>
      </c>
      <c r="L751" t="s">
        <v>266</v>
      </c>
      <c r="M751">
        <v>4.8499999999999996</v>
      </c>
    </row>
    <row r="752" spans="1:13" x14ac:dyDescent="0.25">
      <c r="A752">
        <v>2009</v>
      </c>
      <c r="B752" t="s">
        <v>259</v>
      </c>
      <c r="C752">
        <v>55109</v>
      </c>
      <c r="D752" t="s">
        <v>280</v>
      </c>
      <c r="E752" t="s">
        <v>261</v>
      </c>
      <c r="F752" t="s">
        <v>262</v>
      </c>
      <c r="G752" t="s">
        <v>267</v>
      </c>
      <c r="H752">
        <v>24638.160791877501</v>
      </c>
      <c r="I752" t="s">
        <v>264</v>
      </c>
      <c r="J752" t="s">
        <v>265</v>
      </c>
      <c r="K752">
        <v>84055</v>
      </c>
      <c r="L752" t="s">
        <v>266</v>
      </c>
      <c r="M752">
        <v>0.28999999999999998</v>
      </c>
    </row>
    <row r="753" spans="1:13" x14ac:dyDescent="0.25">
      <c r="A753">
        <v>2009</v>
      </c>
      <c r="B753" t="s">
        <v>259</v>
      </c>
      <c r="C753">
        <v>55109</v>
      </c>
      <c r="D753" t="s">
        <v>280</v>
      </c>
      <c r="E753" t="s">
        <v>261</v>
      </c>
      <c r="F753" t="s">
        <v>262</v>
      </c>
      <c r="G753" t="s">
        <v>269</v>
      </c>
      <c r="H753">
        <v>0</v>
      </c>
      <c r="I753" t="s">
        <v>264</v>
      </c>
      <c r="J753" t="s">
        <v>265</v>
      </c>
      <c r="K753">
        <v>84055</v>
      </c>
      <c r="L753" t="s">
        <v>266</v>
      </c>
      <c r="M753">
        <v>0</v>
      </c>
    </row>
    <row r="754" spans="1:13" x14ac:dyDescent="0.25">
      <c r="A754">
        <v>2009</v>
      </c>
      <c r="B754" t="s">
        <v>259</v>
      </c>
      <c r="C754">
        <v>55109</v>
      </c>
      <c r="D754" t="s">
        <v>280</v>
      </c>
      <c r="E754" t="s">
        <v>261</v>
      </c>
      <c r="F754" t="s">
        <v>268</v>
      </c>
      <c r="G754" t="s">
        <v>263</v>
      </c>
      <c r="H754">
        <v>269.75225825263902</v>
      </c>
      <c r="I754" t="s">
        <v>264</v>
      </c>
      <c r="J754" t="s">
        <v>265</v>
      </c>
      <c r="K754">
        <v>84055</v>
      </c>
      <c r="L754" t="s">
        <v>266</v>
      </c>
      <c r="M754">
        <v>0</v>
      </c>
    </row>
    <row r="755" spans="1:13" x14ac:dyDescent="0.25">
      <c r="A755">
        <v>2009</v>
      </c>
      <c r="B755" t="s">
        <v>259</v>
      </c>
      <c r="C755">
        <v>55109</v>
      </c>
      <c r="D755" t="s">
        <v>280</v>
      </c>
      <c r="E755" t="s">
        <v>261</v>
      </c>
      <c r="F755" t="s">
        <v>268</v>
      </c>
      <c r="G755" t="s">
        <v>267</v>
      </c>
      <c r="H755">
        <v>6085.9775750161598</v>
      </c>
      <c r="I755" t="s">
        <v>264</v>
      </c>
      <c r="J755" t="s">
        <v>265</v>
      </c>
      <c r="K755">
        <v>84055</v>
      </c>
      <c r="L755" t="s">
        <v>266</v>
      </c>
      <c r="M755">
        <v>7.0000000000000007E-2</v>
      </c>
    </row>
    <row r="756" spans="1:13" x14ac:dyDescent="0.25">
      <c r="A756">
        <v>2009</v>
      </c>
      <c r="B756" t="s">
        <v>259</v>
      </c>
      <c r="C756">
        <v>55109</v>
      </c>
      <c r="D756" t="s">
        <v>280</v>
      </c>
      <c r="E756" t="s">
        <v>261</v>
      </c>
      <c r="F756" t="s">
        <v>268</v>
      </c>
      <c r="G756" t="s">
        <v>269</v>
      </c>
      <c r="H756">
        <v>76.9119554054231</v>
      </c>
      <c r="I756" t="s">
        <v>264</v>
      </c>
      <c r="J756" t="s">
        <v>265</v>
      </c>
      <c r="K756">
        <v>84055</v>
      </c>
      <c r="L756" t="s">
        <v>266</v>
      </c>
      <c r="M756">
        <v>0</v>
      </c>
    </row>
    <row r="757" spans="1:13" x14ac:dyDescent="0.25">
      <c r="A757">
        <v>2009</v>
      </c>
      <c r="B757" t="s">
        <v>259</v>
      </c>
      <c r="C757">
        <v>55109</v>
      </c>
      <c r="D757" t="s">
        <v>280</v>
      </c>
      <c r="E757" t="s">
        <v>261</v>
      </c>
      <c r="F757" t="s">
        <v>270</v>
      </c>
      <c r="G757" t="s">
        <v>263</v>
      </c>
      <c r="H757">
        <v>25029.381761169199</v>
      </c>
      <c r="I757" t="s">
        <v>264</v>
      </c>
      <c r="J757" t="s">
        <v>265</v>
      </c>
      <c r="K757">
        <v>84055</v>
      </c>
      <c r="L757" t="s">
        <v>266</v>
      </c>
      <c r="M757">
        <v>0.3</v>
      </c>
    </row>
    <row r="758" spans="1:13" x14ac:dyDescent="0.25">
      <c r="A758">
        <v>2009</v>
      </c>
      <c r="B758" t="s">
        <v>259</v>
      </c>
      <c r="C758">
        <v>55109</v>
      </c>
      <c r="D758" t="s">
        <v>280</v>
      </c>
      <c r="E758" t="s">
        <v>261</v>
      </c>
      <c r="F758" t="s">
        <v>270</v>
      </c>
      <c r="G758" t="s">
        <v>267</v>
      </c>
      <c r="H758">
        <v>127311.07590288301</v>
      </c>
      <c r="I758" t="s">
        <v>264</v>
      </c>
      <c r="J758" t="s">
        <v>265</v>
      </c>
      <c r="K758">
        <v>84055</v>
      </c>
      <c r="L758" t="s">
        <v>266</v>
      </c>
      <c r="M758">
        <v>1.51</v>
      </c>
    </row>
    <row r="759" spans="1:13" x14ac:dyDescent="0.25">
      <c r="A759">
        <v>2009</v>
      </c>
      <c r="B759" t="s">
        <v>259</v>
      </c>
      <c r="C759">
        <v>55109</v>
      </c>
      <c r="D759" t="s">
        <v>280</v>
      </c>
      <c r="E759" t="s">
        <v>261</v>
      </c>
      <c r="F759" t="s">
        <v>270</v>
      </c>
      <c r="G759" t="s">
        <v>269</v>
      </c>
      <c r="H759">
        <v>3.5485821070453598</v>
      </c>
      <c r="I759" t="s">
        <v>264</v>
      </c>
      <c r="J759" t="s">
        <v>265</v>
      </c>
      <c r="K759">
        <v>84055</v>
      </c>
      <c r="L759" t="s">
        <v>266</v>
      </c>
      <c r="M759">
        <v>0</v>
      </c>
    </row>
    <row r="760" spans="1:13" x14ac:dyDescent="0.25">
      <c r="A760">
        <v>2010</v>
      </c>
      <c r="B760" t="s">
        <v>259</v>
      </c>
      <c r="C760">
        <v>27003</v>
      </c>
      <c r="D760" t="s">
        <v>260</v>
      </c>
      <c r="E760" t="s">
        <v>261</v>
      </c>
      <c r="F760" t="s">
        <v>262</v>
      </c>
      <c r="G760" t="s">
        <v>263</v>
      </c>
      <c r="H760">
        <v>1062369.5407533001</v>
      </c>
      <c r="I760" t="s">
        <v>264</v>
      </c>
      <c r="J760" t="s">
        <v>265</v>
      </c>
      <c r="K760">
        <v>244813</v>
      </c>
      <c r="L760" t="s">
        <v>281</v>
      </c>
      <c r="M760">
        <v>4.34</v>
      </c>
    </row>
    <row r="761" spans="1:13" x14ac:dyDescent="0.25">
      <c r="A761">
        <v>2010</v>
      </c>
      <c r="B761" t="s">
        <v>259</v>
      </c>
      <c r="C761">
        <v>27003</v>
      </c>
      <c r="D761" t="s">
        <v>260</v>
      </c>
      <c r="E761" t="s">
        <v>261</v>
      </c>
      <c r="F761" t="s">
        <v>262</v>
      </c>
      <c r="G761" t="s">
        <v>267</v>
      </c>
      <c r="H761">
        <v>29338.624117368799</v>
      </c>
      <c r="I761" t="s">
        <v>264</v>
      </c>
      <c r="J761" t="s">
        <v>265</v>
      </c>
      <c r="K761">
        <v>244813</v>
      </c>
      <c r="L761" t="s">
        <v>281</v>
      </c>
      <c r="M761">
        <v>0.12</v>
      </c>
    </row>
    <row r="762" spans="1:13" x14ac:dyDescent="0.25">
      <c r="A762">
        <v>2010</v>
      </c>
      <c r="B762" t="s">
        <v>259</v>
      </c>
      <c r="C762">
        <v>27003</v>
      </c>
      <c r="D762" t="s">
        <v>260</v>
      </c>
      <c r="E762" t="s">
        <v>261</v>
      </c>
      <c r="F762" t="s">
        <v>262</v>
      </c>
      <c r="G762" t="s">
        <v>269</v>
      </c>
      <c r="H762">
        <v>1049.63394889557</v>
      </c>
      <c r="I762" t="s">
        <v>264</v>
      </c>
      <c r="J762" t="s">
        <v>265</v>
      </c>
      <c r="K762">
        <v>244813</v>
      </c>
      <c r="L762" t="s">
        <v>281</v>
      </c>
      <c r="M762">
        <v>0</v>
      </c>
    </row>
    <row r="763" spans="1:13" x14ac:dyDescent="0.25">
      <c r="A763">
        <v>2010</v>
      </c>
      <c r="B763" t="s">
        <v>259</v>
      </c>
      <c r="C763">
        <v>27003</v>
      </c>
      <c r="D763" t="s">
        <v>260</v>
      </c>
      <c r="E763" t="s">
        <v>261</v>
      </c>
      <c r="F763" t="s">
        <v>268</v>
      </c>
      <c r="G763" t="s">
        <v>263</v>
      </c>
      <c r="H763">
        <v>571.01789777110002</v>
      </c>
      <c r="I763" t="s">
        <v>264</v>
      </c>
      <c r="J763" t="s">
        <v>265</v>
      </c>
      <c r="K763">
        <v>244813</v>
      </c>
      <c r="L763" t="s">
        <v>281</v>
      </c>
      <c r="M763">
        <v>0</v>
      </c>
    </row>
    <row r="764" spans="1:13" x14ac:dyDescent="0.25">
      <c r="A764">
        <v>2010</v>
      </c>
      <c r="B764" t="s">
        <v>259</v>
      </c>
      <c r="C764">
        <v>27003</v>
      </c>
      <c r="D764" t="s">
        <v>260</v>
      </c>
      <c r="E764" t="s">
        <v>261</v>
      </c>
      <c r="F764" t="s">
        <v>268</v>
      </c>
      <c r="G764" t="s">
        <v>267</v>
      </c>
      <c r="H764">
        <v>14170.413015849401</v>
      </c>
      <c r="I764" t="s">
        <v>264</v>
      </c>
      <c r="J764" t="s">
        <v>265</v>
      </c>
      <c r="K764">
        <v>244813</v>
      </c>
      <c r="L764" t="s">
        <v>281</v>
      </c>
      <c r="M764">
        <v>0.06</v>
      </c>
    </row>
    <row r="765" spans="1:13" x14ac:dyDescent="0.25">
      <c r="A765">
        <v>2010</v>
      </c>
      <c r="B765" t="s">
        <v>259</v>
      </c>
      <c r="C765">
        <v>27003</v>
      </c>
      <c r="D765" t="s">
        <v>260</v>
      </c>
      <c r="E765" t="s">
        <v>261</v>
      </c>
      <c r="F765" t="s">
        <v>268</v>
      </c>
      <c r="G765" t="s">
        <v>269</v>
      </c>
      <c r="H765">
        <v>9.1005502685058701</v>
      </c>
      <c r="I765" t="s">
        <v>264</v>
      </c>
      <c r="J765" t="s">
        <v>265</v>
      </c>
      <c r="K765">
        <v>244813</v>
      </c>
      <c r="L765" t="s">
        <v>281</v>
      </c>
      <c r="M765">
        <v>0</v>
      </c>
    </row>
    <row r="766" spans="1:13" x14ac:dyDescent="0.25">
      <c r="A766">
        <v>2010</v>
      </c>
      <c r="B766" t="s">
        <v>259</v>
      </c>
      <c r="C766">
        <v>27003</v>
      </c>
      <c r="D766" t="s">
        <v>260</v>
      </c>
      <c r="E766" t="s">
        <v>261</v>
      </c>
      <c r="F766" t="s">
        <v>270</v>
      </c>
      <c r="G766" t="s">
        <v>263</v>
      </c>
      <c r="H766">
        <v>78710.280258099097</v>
      </c>
      <c r="I766" t="s">
        <v>264</v>
      </c>
      <c r="J766" t="s">
        <v>265</v>
      </c>
      <c r="K766">
        <v>244813</v>
      </c>
      <c r="L766" t="s">
        <v>281</v>
      </c>
      <c r="M766">
        <v>0.32</v>
      </c>
    </row>
    <row r="767" spans="1:13" x14ac:dyDescent="0.25">
      <c r="A767">
        <v>2010</v>
      </c>
      <c r="B767" t="s">
        <v>259</v>
      </c>
      <c r="C767">
        <v>27003</v>
      </c>
      <c r="D767" t="s">
        <v>260</v>
      </c>
      <c r="E767" t="s">
        <v>261</v>
      </c>
      <c r="F767" t="s">
        <v>270</v>
      </c>
      <c r="G767" t="s">
        <v>267</v>
      </c>
      <c r="H767">
        <v>321101.58919333603</v>
      </c>
      <c r="I767" t="s">
        <v>264</v>
      </c>
      <c r="J767" t="s">
        <v>265</v>
      </c>
      <c r="K767">
        <v>244813</v>
      </c>
      <c r="L767" t="s">
        <v>281</v>
      </c>
      <c r="M767">
        <v>1.31</v>
      </c>
    </row>
    <row r="768" spans="1:13" x14ac:dyDescent="0.25">
      <c r="A768">
        <v>2010</v>
      </c>
      <c r="B768" t="s">
        <v>259</v>
      </c>
      <c r="C768">
        <v>27003</v>
      </c>
      <c r="D768" t="s">
        <v>260</v>
      </c>
      <c r="E768" t="s">
        <v>261</v>
      </c>
      <c r="F768" t="s">
        <v>270</v>
      </c>
      <c r="G768" t="s">
        <v>269</v>
      </c>
      <c r="H768">
        <v>80.726695270060603</v>
      </c>
      <c r="I768" t="s">
        <v>264</v>
      </c>
      <c r="J768" t="s">
        <v>265</v>
      </c>
      <c r="K768">
        <v>244813</v>
      </c>
      <c r="L768" t="s">
        <v>281</v>
      </c>
      <c r="M768">
        <v>0</v>
      </c>
    </row>
    <row r="769" spans="1:13" x14ac:dyDescent="0.25">
      <c r="A769">
        <v>2010</v>
      </c>
      <c r="B769" t="s">
        <v>259</v>
      </c>
      <c r="C769">
        <v>27019</v>
      </c>
      <c r="D769" t="s">
        <v>271</v>
      </c>
      <c r="E769" t="s">
        <v>261</v>
      </c>
      <c r="F769" t="s">
        <v>262</v>
      </c>
      <c r="G769" t="s">
        <v>263</v>
      </c>
      <c r="H769">
        <v>317409.422886274</v>
      </c>
      <c r="I769" t="s">
        <v>264</v>
      </c>
      <c r="J769" t="s">
        <v>265</v>
      </c>
      <c r="K769">
        <v>63837</v>
      </c>
      <c r="L769" t="s">
        <v>281</v>
      </c>
      <c r="M769">
        <v>4.97</v>
      </c>
    </row>
    <row r="770" spans="1:13" x14ac:dyDescent="0.25">
      <c r="A770">
        <v>2010</v>
      </c>
      <c r="B770" t="s">
        <v>259</v>
      </c>
      <c r="C770">
        <v>27019</v>
      </c>
      <c r="D770" t="s">
        <v>271</v>
      </c>
      <c r="E770" t="s">
        <v>261</v>
      </c>
      <c r="F770" t="s">
        <v>262</v>
      </c>
      <c r="G770" t="s">
        <v>267</v>
      </c>
      <c r="H770">
        <v>11017.463324439899</v>
      </c>
      <c r="I770" t="s">
        <v>264</v>
      </c>
      <c r="J770" t="s">
        <v>265</v>
      </c>
      <c r="K770">
        <v>63837</v>
      </c>
      <c r="L770" t="s">
        <v>281</v>
      </c>
      <c r="M770">
        <v>0.17</v>
      </c>
    </row>
    <row r="771" spans="1:13" x14ac:dyDescent="0.25">
      <c r="A771">
        <v>2010</v>
      </c>
      <c r="B771" t="s">
        <v>259</v>
      </c>
      <c r="C771">
        <v>27019</v>
      </c>
      <c r="D771" t="s">
        <v>271</v>
      </c>
      <c r="E771" t="s">
        <v>261</v>
      </c>
      <c r="F771" t="s">
        <v>262</v>
      </c>
      <c r="G771" t="s">
        <v>269</v>
      </c>
      <c r="H771">
        <v>345.475758145425</v>
      </c>
      <c r="I771" t="s">
        <v>264</v>
      </c>
      <c r="J771" t="s">
        <v>265</v>
      </c>
      <c r="K771">
        <v>63837</v>
      </c>
      <c r="L771" t="s">
        <v>281</v>
      </c>
      <c r="M771">
        <v>0.01</v>
      </c>
    </row>
    <row r="772" spans="1:13" x14ac:dyDescent="0.25">
      <c r="A772">
        <v>2010</v>
      </c>
      <c r="B772" t="s">
        <v>259</v>
      </c>
      <c r="C772">
        <v>27019</v>
      </c>
      <c r="D772" t="s">
        <v>271</v>
      </c>
      <c r="E772" t="s">
        <v>261</v>
      </c>
      <c r="F772" t="s">
        <v>268</v>
      </c>
      <c r="G772" t="s">
        <v>263</v>
      </c>
      <c r="H772">
        <v>309.38809371171698</v>
      </c>
      <c r="I772" t="s">
        <v>264</v>
      </c>
      <c r="J772" t="s">
        <v>265</v>
      </c>
      <c r="K772">
        <v>63837</v>
      </c>
      <c r="L772" t="s">
        <v>281</v>
      </c>
      <c r="M772">
        <v>0</v>
      </c>
    </row>
    <row r="773" spans="1:13" x14ac:dyDescent="0.25">
      <c r="A773">
        <v>2010</v>
      </c>
      <c r="B773" t="s">
        <v>259</v>
      </c>
      <c r="C773">
        <v>27019</v>
      </c>
      <c r="D773" t="s">
        <v>271</v>
      </c>
      <c r="E773" t="s">
        <v>261</v>
      </c>
      <c r="F773" t="s">
        <v>268</v>
      </c>
      <c r="G773" t="s">
        <v>267</v>
      </c>
      <c r="H773">
        <v>3927.6028021813299</v>
      </c>
      <c r="I773" t="s">
        <v>264</v>
      </c>
      <c r="J773" t="s">
        <v>265</v>
      </c>
      <c r="K773">
        <v>63837</v>
      </c>
      <c r="L773" t="s">
        <v>281</v>
      </c>
      <c r="M773">
        <v>0.06</v>
      </c>
    </row>
    <row r="774" spans="1:13" x14ac:dyDescent="0.25">
      <c r="A774">
        <v>2010</v>
      </c>
      <c r="B774" t="s">
        <v>259</v>
      </c>
      <c r="C774">
        <v>27019</v>
      </c>
      <c r="D774" t="s">
        <v>271</v>
      </c>
      <c r="E774" t="s">
        <v>261</v>
      </c>
      <c r="F774" t="s">
        <v>268</v>
      </c>
      <c r="G774" t="s">
        <v>269</v>
      </c>
      <c r="H774">
        <v>137.43717580153901</v>
      </c>
      <c r="I774" t="s">
        <v>264</v>
      </c>
      <c r="J774" t="s">
        <v>265</v>
      </c>
      <c r="K774">
        <v>63837</v>
      </c>
      <c r="L774" t="s">
        <v>281</v>
      </c>
      <c r="M774">
        <v>0</v>
      </c>
    </row>
    <row r="775" spans="1:13" x14ac:dyDescent="0.25">
      <c r="A775">
        <v>2010</v>
      </c>
      <c r="B775" t="s">
        <v>259</v>
      </c>
      <c r="C775">
        <v>27019</v>
      </c>
      <c r="D775" t="s">
        <v>271</v>
      </c>
      <c r="E775" t="s">
        <v>261</v>
      </c>
      <c r="F775" t="s">
        <v>270</v>
      </c>
      <c r="G775" t="s">
        <v>263</v>
      </c>
      <c r="H775">
        <v>16377.9705489712</v>
      </c>
      <c r="I775" t="s">
        <v>264</v>
      </c>
      <c r="J775" t="s">
        <v>265</v>
      </c>
      <c r="K775">
        <v>63837</v>
      </c>
      <c r="L775" t="s">
        <v>281</v>
      </c>
      <c r="M775">
        <v>0.26</v>
      </c>
    </row>
    <row r="776" spans="1:13" x14ac:dyDescent="0.25">
      <c r="A776">
        <v>2010</v>
      </c>
      <c r="B776" t="s">
        <v>259</v>
      </c>
      <c r="C776">
        <v>27019</v>
      </c>
      <c r="D776" t="s">
        <v>271</v>
      </c>
      <c r="E776" t="s">
        <v>261</v>
      </c>
      <c r="F776" t="s">
        <v>270</v>
      </c>
      <c r="G776" t="s">
        <v>267</v>
      </c>
      <c r="H776">
        <v>95970.644680064404</v>
      </c>
      <c r="I776" t="s">
        <v>264</v>
      </c>
      <c r="J776" t="s">
        <v>265</v>
      </c>
      <c r="K776">
        <v>63837</v>
      </c>
      <c r="L776" t="s">
        <v>281</v>
      </c>
      <c r="M776">
        <v>1.5</v>
      </c>
    </row>
    <row r="777" spans="1:13" x14ac:dyDescent="0.25">
      <c r="A777">
        <v>2010</v>
      </c>
      <c r="B777" t="s">
        <v>259</v>
      </c>
      <c r="C777">
        <v>27019</v>
      </c>
      <c r="D777" t="s">
        <v>271</v>
      </c>
      <c r="E777" t="s">
        <v>261</v>
      </c>
      <c r="F777" t="s">
        <v>270</v>
      </c>
      <c r="G777" t="s">
        <v>269</v>
      </c>
      <c r="H777">
        <v>23.780905301195901</v>
      </c>
      <c r="I777" t="s">
        <v>264</v>
      </c>
      <c r="J777" t="s">
        <v>265</v>
      </c>
      <c r="K777">
        <v>63837</v>
      </c>
      <c r="L777" t="s">
        <v>281</v>
      </c>
      <c r="M777">
        <v>0</v>
      </c>
    </row>
    <row r="778" spans="1:13" x14ac:dyDescent="0.25">
      <c r="A778">
        <v>2010</v>
      </c>
      <c r="B778" t="s">
        <v>259</v>
      </c>
      <c r="C778">
        <v>27025</v>
      </c>
      <c r="D778" t="s">
        <v>272</v>
      </c>
      <c r="E778" t="s">
        <v>261</v>
      </c>
      <c r="F778" t="s">
        <v>262</v>
      </c>
      <c r="G778" t="s">
        <v>263</v>
      </c>
      <c r="H778">
        <v>285930.51252264401</v>
      </c>
      <c r="I778" t="s">
        <v>264</v>
      </c>
      <c r="J778" t="s">
        <v>265</v>
      </c>
      <c r="K778">
        <v>40040</v>
      </c>
      <c r="L778" t="s">
        <v>281</v>
      </c>
      <c r="M778">
        <v>7.14</v>
      </c>
    </row>
    <row r="779" spans="1:13" x14ac:dyDescent="0.25">
      <c r="A779">
        <v>2010</v>
      </c>
      <c r="B779" t="s">
        <v>259</v>
      </c>
      <c r="C779">
        <v>27025</v>
      </c>
      <c r="D779" t="s">
        <v>272</v>
      </c>
      <c r="E779" t="s">
        <v>261</v>
      </c>
      <c r="F779" t="s">
        <v>262</v>
      </c>
      <c r="G779" t="s">
        <v>267</v>
      </c>
      <c r="H779">
        <v>16764.730304887202</v>
      </c>
      <c r="I779" t="s">
        <v>264</v>
      </c>
      <c r="J779" t="s">
        <v>265</v>
      </c>
      <c r="K779">
        <v>40040</v>
      </c>
      <c r="L779" t="s">
        <v>281</v>
      </c>
      <c r="M779">
        <v>0.42</v>
      </c>
    </row>
    <row r="780" spans="1:13" x14ac:dyDescent="0.25">
      <c r="A780">
        <v>2010</v>
      </c>
      <c r="B780" t="s">
        <v>259</v>
      </c>
      <c r="C780">
        <v>27025</v>
      </c>
      <c r="D780" t="s">
        <v>272</v>
      </c>
      <c r="E780" t="s">
        <v>261</v>
      </c>
      <c r="F780" t="s">
        <v>262</v>
      </c>
      <c r="G780" t="s">
        <v>269</v>
      </c>
      <c r="H780">
        <v>334.48220081253498</v>
      </c>
      <c r="I780" t="s">
        <v>264</v>
      </c>
      <c r="J780" t="s">
        <v>265</v>
      </c>
      <c r="K780">
        <v>40040</v>
      </c>
      <c r="L780" t="s">
        <v>281</v>
      </c>
      <c r="M780">
        <v>0.01</v>
      </c>
    </row>
    <row r="781" spans="1:13" x14ac:dyDescent="0.25">
      <c r="A781">
        <v>2010</v>
      </c>
      <c r="B781" t="s">
        <v>259</v>
      </c>
      <c r="C781">
        <v>27025</v>
      </c>
      <c r="D781" t="s">
        <v>272</v>
      </c>
      <c r="E781" t="s">
        <v>261</v>
      </c>
      <c r="F781" t="s">
        <v>268</v>
      </c>
      <c r="G781" t="s">
        <v>263</v>
      </c>
      <c r="H781">
        <v>477.681046974867</v>
      </c>
      <c r="I781" t="s">
        <v>264</v>
      </c>
      <c r="J781" t="s">
        <v>265</v>
      </c>
      <c r="K781">
        <v>40040</v>
      </c>
      <c r="L781" t="s">
        <v>281</v>
      </c>
      <c r="M781">
        <v>0.01</v>
      </c>
    </row>
    <row r="782" spans="1:13" x14ac:dyDescent="0.25">
      <c r="A782">
        <v>2010</v>
      </c>
      <c r="B782" t="s">
        <v>259</v>
      </c>
      <c r="C782">
        <v>27025</v>
      </c>
      <c r="D782" t="s">
        <v>272</v>
      </c>
      <c r="E782" t="s">
        <v>261</v>
      </c>
      <c r="F782" t="s">
        <v>268</v>
      </c>
      <c r="G782" t="s">
        <v>267</v>
      </c>
      <c r="H782">
        <v>3331.5977126902199</v>
      </c>
      <c r="I782" t="s">
        <v>264</v>
      </c>
      <c r="J782" t="s">
        <v>265</v>
      </c>
      <c r="K782">
        <v>40040</v>
      </c>
      <c r="L782" t="s">
        <v>281</v>
      </c>
      <c r="M782">
        <v>0.08</v>
      </c>
    </row>
    <row r="783" spans="1:13" x14ac:dyDescent="0.25">
      <c r="A783">
        <v>2010</v>
      </c>
      <c r="B783" t="s">
        <v>259</v>
      </c>
      <c r="C783">
        <v>27025</v>
      </c>
      <c r="D783" t="s">
        <v>272</v>
      </c>
      <c r="E783" t="s">
        <v>261</v>
      </c>
      <c r="F783" t="s">
        <v>268</v>
      </c>
      <c r="G783" t="s">
        <v>269</v>
      </c>
      <c r="H783">
        <v>73.625609902017004</v>
      </c>
      <c r="I783" t="s">
        <v>264</v>
      </c>
      <c r="J783" t="s">
        <v>265</v>
      </c>
      <c r="K783">
        <v>40040</v>
      </c>
      <c r="L783" t="s">
        <v>281</v>
      </c>
      <c r="M783">
        <v>0</v>
      </c>
    </row>
    <row r="784" spans="1:13" x14ac:dyDescent="0.25">
      <c r="A784">
        <v>2010</v>
      </c>
      <c r="B784" t="s">
        <v>259</v>
      </c>
      <c r="C784">
        <v>27025</v>
      </c>
      <c r="D784" t="s">
        <v>272</v>
      </c>
      <c r="E784" t="s">
        <v>261</v>
      </c>
      <c r="F784" t="s">
        <v>270</v>
      </c>
      <c r="G784" t="s">
        <v>263</v>
      </c>
      <c r="H784">
        <v>12368.118019506701</v>
      </c>
      <c r="I784" t="s">
        <v>264</v>
      </c>
      <c r="J784" t="s">
        <v>265</v>
      </c>
      <c r="K784">
        <v>40040</v>
      </c>
      <c r="L784" t="s">
        <v>281</v>
      </c>
      <c r="M784">
        <v>0.31</v>
      </c>
    </row>
    <row r="785" spans="1:13" x14ac:dyDescent="0.25">
      <c r="A785">
        <v>2010</v>
      </c>
      <c r="B785" t="s">
        <v>259</v>
      </c>
      <c r="C785">
        <v>27025</v>
      </c>
      <c r="D785" t="s">
        <v>272</v>
      </c>
      <c r="E785" t="s">
        <v>261</v>
      </c>
      <c r="F785" t="s">
        <v>270</v>
      </c>
      <c r="G785" t="s">
        <v>267</v>
      </c>
      <c r="H785">
        <v>85810.878305078804</v>
      </c>
      <c r="I785" t="s">
        <v>264</v>
      </c>
      <c r="J785" t="s">
        <v>265</v>
      </c>
      <c r="K785">
        <v>40040</v>
      </c>
      <c r="L785" t="s">
        <v>281</v>
      </c>
      <c r="M785">
        <v>2.14</v>
      </c>
    </row>
    <row r="786" spans="1:13" x14ac:dyDescent="0.25">
      <c r="A786">
        <v>2010</v>
      </c>
      <c r="B786" t="s">
        <v>259</v>
      </c>
      <c r="C786">
        <v>27025</v>
      </c>
      <c r="D786" t="s">
        <v>272</v>
      </c>
      <c r="E786" t="s">
        <v>261</v>
      </c>
      <c r="F786" t="s">
        <v>270</v>
      </c>
      <c r="G786" t="s">
        <v>269</v>
      </c>
      <c r="H786">
        <v>13.036752134294099</v>
      </c>
      <c r="I786" t="s">
        <v>264</v>
      </c>
      <c r="J786" t="s">
        <v>265</v>
      </c>
      <c r="K786">
        <v>40040</v>
      </c>
      <c r="L786" t="s">
        <v>281</v>
      </c>
      <c r="M786">
        <v>0</v>
      </c>
    </row>
    <row r="787" spans="1:13" x14ac:dyDescent="0.25">
      <c r="A787">
        <v>2010</v>
      </c>
      <c r="B787" t="s">
        <v>259</v>
      </c>
      <c r="C787">
        <v>27037</v>
      </c>
      <c r="D787" t="s">
        <v>273</v>
      </c>
      <c r="E787" t="s">
        <v>261</v>
      </c>
      <c r="F787" t="s">
        <v>262</v>
      </c>
      <c r="G787" t="s">
        <v>263</v>
      </c>
      <c r="H787">
        <v>1378351.48215171</v>
      </c>
      <c r="I787" t="s">
        <v>264</v>
      </c>
      <c r="J787" t="s">
        <v>265</v>
      </c>
      <c r="K787">
        <v>293492</v>
      </c>
      <c r="L787" t="s">
        <v>281</v>
      </c>
      <c r="M787">
        <v>4.7</v>
      </c>
    </row>
    <row r="788" spans="1:13" x14ac:dyDescent="0.25">
      <c r="A788">
        <v>2010</v>
      </c>
      <c r="B788" t="s">
        <v>259</v>
      </c>
      <c r="C788">
        <v>27037</v>
      </c>
      <c r="D788" t="s">
        <v>273</v>
      </c>
      <c r="E788" t="s">
        <v>261</v>
      </c>
      <c r="F788" t="s">
        <v>262</v>
      </c>
      <c r="G788" t="s">
        <v>267</v>
      </c>
      <c r="H788">
        <v>28378.635601784099</v>
      </c>
      <c r="I788" t="s">
        <v>264</v>
      </c>
      <c r="J788" t="s">
        <v>265</v>
      </c>
      <c r="K788">
        <v>293492</v>
      </c>
      <c r="L788" t="s">
        <v>281</v>
      </c>
      <c r="M788">
        <v>0.1</v>
      </c>
    </row>
    <row r="789" spans="1:13" x14ac:dyDescent="0.25">
      <c r="A789">
        <v>2010</v>
      </c>
      <c r="B789" t="s">
        <v>259</v>
      </c>
      <c r="C789">
        <v>27037</v>
      </c>
      <c r="D789" t="s">
        <v>273</v>
      </c>
      <c r="E789" t="s">
        <v>261</v>
      </c>
      <c r="F789" t="s">
        <v>262</v>
      </c>
      <c r="G789" t="s">
        <v>269</v>
      </c>
      <c r="H789">
        <v>1342.8857998169899</v>
      </c>
      <c r="I789" t="s">
        <v>264</v>
      </c>
      <c r="J789" t="s">
        <v>265</v>
      </c>
      <c r="K789">
        <v>293492</v>
      </c>
      <c r="L789" t="s">
        <v>281</v>
      </c>
      <c r="M789">
        <v>0</v>
      </c>
    </row>
    <row r="790" spans="1:13" x14ac:dyDescent="0.25">
      <c r="A790">
        <v>2010</v>
      </c>
      <c r="B790" t="s">
        <v>259</v>
      </c>
      <c r="C790">
        <v>27037</v>
      </c>
      <c r="D790" t="s">
        <v>273</v>
      </c>
      <c r="E790" t="s">
        <v>261</v>
      </c>
      <c r="F790" t="s">
        <v>268</v>
      </c>
      <c r="G790" t="s">
        <v>263</v>
      </c>
      <c r="H790">
        <v>506.96619636634802</v>
      </c>
      <c r="I790" t="s">
        <v>264</v>
      </c>
      <c r="J790" t="s">
        <v>265</v>
      </c>
      <c r="K790">
        <v>293492</v>
      </c>
      <c r="L790" t="s">
        <v>281</v>
      </c>
      <c r="M790">
        <v>0</v>
      </c>
    </row>
    <row r="791" spans="1:13" x14ac:dyDescent="0.25">
      <c r="A791">
        <v>2010</v>
      </c>
      <c r="B791" t="s">
        <v>259</v>
      </c>
      <c r="C791">
        <v>27037</v>
      </c>
      <c r="D791" t="s">
        <v>273</v>
      </c>
      <c r="E791" t="s">
        <v>261</v>
      </c>
      <c r="F791" t="s">
        <v>268</v>
      </c>
      <c r="G791" t="s">
        <v>267</v>
      </c>
      <c r="H791">
        <v>18581.323678115001</v>
      </c>
      <c r="I791" t="s">
        <v>264</v>
      </c>
      <c r="J791" t="s">
        <v>265</v>
      </c>
      <c r="K791">
        <v>293492</v>
      </c>
      <c r="L791" t="s">
        <v>281</v>
      </c>
      <c r="M791">
        <v>0.06</v>
      </c>
    </row>
    <row r="792" spans="1:13" x14ac:dyDescent="0.25">
      <c r="A792">
        <v>2010</v>
      </c>
      <c r="B792" t="s">
        <v>259</v>
      </c>
      <c r="C792">
        <v>27037</v>
      </c>
      <c r="D792" t="s">
        <v>273</v>
      </c>
      <c r="E792" t="s">
        <v>261</v>
      </c>
      <c r="F792" t="s">
        <v>268</v>
      </c>
      <c r="G792" t="s">
        <v>269</v>
      </c>
      <c r="H792">
        <v>54.983502320187498</v>
      </c>
      <c r="I792" t="s">
        <v>264</v>
      </c>
      <c r="J792" t="s">
        <v>265</v>
      </c>
      <c r="K792">
        <v>293492</v>
      </c>
      <c r="L792" t="s">
        <v>281</v>
      </c>
      <c r="M792">
        <v>0</v>
      </c>
    </row>
    <row r="793" spans="1:13" x14ac:dyDescent="0.25">
      <c r="A793">
        <v>2010</v>
      </c>
      <c r="B793" t="s">
        <v>259</v>
      </c>
      <c r="C793">
        <v>27037</v>
      </c>
      <c r="D793" t="s">
        <v>273</v>
      </c>
      <c r="E793" t="s">
        <v>261</v>
      </c>
      <c r="F793" t="s">
        <v>270</v>
      </c>
      <c r="G793" t="s">
        <v>263</v>
      </c>
      <c r="H793">
        <v>80006.007864920306</v>
      </c>
      <c r="I793" t="s">
        <v>264</v>
      </c>
      <c r="J793" t="s">
        <v>265</v>
      </c>
      <c r="K793">
        <v>293492</v>
      </c>
      <c r="L793" t="s">
        <v>281</v>
      </c>
      <c r="M793">
        <v>0.27</v>
      </c>
    </row>
    <row r="794" spans="1:13" x14ac:dyDescent="0.25">
      <c r="A794">
        <v>2010</v>
      </c>
      <c r="B794" t="s">
        <v>259</v>
      </c>
      <c r="C794">
        <v>27037</v>
      </c>
      <c r="D794" t="s">
        <v>273</v>
      </c>
      <c r="E794" t="s">
        <v>261</v>
      </c>
      <c r="F794" t="s">
        <v>270</v>
      </c>
      <c r="G794" t="s">
        <v>267</v>
      </c>
      <c r="H794">
        <v>425300.03067409497</v>
      </c>
      <c r="I794" t="s">
        <v>264</v>
      </c>
      <c r="J794" t="s">
        <v>265</v>
      </c>
      <c r="K794">
        <v>293492</v>
      </c>
      <c r="L794" t="s">
        <v>281</v>
      </c>
      <c r="M794">
        <v>1.45</v>
      </c>
    </row>
    <row r="795" spans="1:13" x14ac:dyDescent="0.25">
      <c r="A795">
        <v>2010</v>
      </c>
      <c r="B795" t="s">
        <v>259</v>
      </c>
      <c r="C795">
        <v>27037</v>
      </c>
      <c r="D795" t="s">
        <v>273</v>
      </c>
      <c r="E795" t="s">
        <v>261</v>
      </c>
      <c r="F795" t="s">
        <v>270</v>
      </c>
      <c r="G795" t="s">
        <v>269</v>
      </c>
      <c r="H795">
        <v>109.63675730233</v>
      </c>
      <c r="I795" t="s">
        <v>264</v>
      </c>
      <c r="J795" t="s">
        <v>265</v>
      </c>
      <c r="K795">
        <v>293492</v>
      </c>
      <c r="L795" t="s">
        <v>281</v>
      </c>
      <c r="M795">
        <v>0</v>
      </c>
    </row>
    <row r="796" spans="1:13" x14ac:dyDescent="0.25">
      <c r="A796">
        <v>2010</v>
      </c>
      <c r="B796" t="s">
        <v>259</v>
      </c>
      <c r="C796">
        <v>27053</v>
      </c>
      <c r="D796" t="s">
        <v>274</v>
      </c>
      <c r="E796" t="s">
        <v>261</v>
      </c>
      <c r="F796" t="s">
        <v>262</v>
      </c>
      <c r="G796" t="s">
        <v>263</v>
      </c>
      <c r="H796">
        <v>3678898.3178658802</v>
      </c>
      <c r="I796" t="s">
        <v>264</v>
      </c>
      <c r="J796" t="s">
        <v>265</v>
      </c>
      <c r="K796">
        <v>891080</v>
      </c>
      <c r="L796" t="s">
        <v>281</v>
      </c>
      <c r="M796">
        <v>4.13</v>
      </c>
    </row>
    <row r="797" spans="1:13" x14ac:dyDescent="0.25">
      <c r="A797">
        <v>2010</v>
      </c>
      <c r="B797" t="s">
        <v>259</v>
      </c>
      <c r="C797">
        <v>27053</v>
      </c>
      <c r="D797" t="s">
        <v>274</v>
      </c>
      <c r="E797" t="s">
        <v>261</v>
      </c>
      <c r="F797" t="s">
        <v>262</v>
      </c>
      <c r="G797" t="s">
        <v>267</v>
      </c>
      <c r="H797">
        <v>49860.868059081797</v>
      </c>
      <c r="I797" t="s">
        <v>264</v>
      </c>
      <c r="J797" t="s">
        <v>265</v>
      </c>
      <c r="K797">
        <v>891080</v>
      </c>
      <c r="L797" t="s">
        <v>281</v>
      </c>
      <c r="M797">
        <v>0.06</v>
      </c>
    </row>
    <row r="798" spans="1:13" x14ac:dyDescent="0.25">
      <c r="A798">
        <v>2010</v>
      </c>
      <c r="B798" t="s">
        <v>259</v>
      </c>
      <c r="C798">
        <v>27053</v>
      </c>
      <c r="D798" t="s">
        <v>274</v>
      </c>
      <c r="E798" t="s">
        <v>261</v>
      </c>
      <c r="F798" t="s">
        <v>262</v>
      </c>
      <c r="G798" t="s">
        <v>269</v>
      </c>
      <c r="H798">
        <v>2883.0519251067799</v>
      </c>
      <c r="I798" t="s">
        <v>264</v>
      </c>
      <c r="J798" t="s">
        <v>265</v>
      </c>
      <c r="K798">
        <v>891080</v>
      </c>
      <c r="L798" t="s">
        <v>281</v>
      </c>
      <c r="M798">
        <v>0</v>
      </c>
    </row>
    <row r="799" spans="1:13" x14ac:dyDescent="0.25">
      <c r="A799">
        <v>2010</v>
      </c>
      <c r="B799" t="s">
        <v>259</v>
      </c>
      <c r="C799">
        <v>27053</v>
      </c>
      <c r="D799" t="s">
        <v>274</v>
      </c>
      <c r="E799" t="s">
        <v>261</v>
      </c>
      <c r="F799" t="s">
        <v>268</v>
      </c>
      <c r="G799" t="s">
        <v>263</v>
      </c>
      <c r="H799">
        <v>3773.2888767477398</v>
      </c>
      <c r="I799" t="s">
        <v>264</v>
      </c>
      <c r="J799" t="s">
        <v>265</v>
      </c>
      <c r="K799">
        <v>891080</v>
      </c>
      <c r="L799" t="s">
        <v>281</v>
      </c>
      <c r="M799">
        <v>0</v>
      </c>
    </row>
    <row r="800" spans="1:13" x14ac:dyDescent="0.25">
      <c r="A800">
        <v>2010</v>
      </c>
      <c r="B800" t="s">
        <v>259</v>
      </c>
      <c r="C800">
        <v>27053</v>
      </c>
      <c r="D800" t="s">
        <v>274</v>
      </c>
      <c r="E800" t="s">
        <v>261</v>
      </c>
      <c r="F800" t="s">
        <v>268</v>
      </c>
      <c r="G800" t="s">
        <v>267</v>
      </c>
      <c r="H800">
        <v>49832.607941402399</v>
      </c>
      <c r="I800" t="s">
        <v>264</v>
      </c>
      <c r="J800" t="s">
        <v>265</v>
      </c>
      <c r="K800">
        <v>891080</v>
      </c>
      <c r="L800" t="s">
        <v>281</v>
      </c>
      <c r="M800">
        <v>0.06</v>
      </c>
    </row>
    <row r="801" spans="1:13" x14ac:dyDescent="0.25">
      <c r="A801">
        <v>2010</v>
      </c>
      <c r="B801" t="s">
        <v>259</v>
      </c>
      <c r="C801">
        <v>27053</v>
      </c>
      <c r="D801" t="s">
        <v>274</v>
      </c>
      <c r="E801" t="s">
        <v>261</v>
      </c>
      <c r="F801" t="s">
        <v>268</v>
      </c>
      <c r="G801" t="s">
        <v>269</v>
      </c>
      <c r="H801">
        <v>13.6410313741591</v>
      </c>
      <c r="I801" t="s">
        <v>264</v>
      </c>
      <c r="J801" t="s">
        <v>265</v>
      </c>
      <c r="K801">
        <v>891080</v>
      </c>
      <c r="L801" t="s">
        <v>281</v>
      </c>
      <c r="M801">
        <v>0</v>
      </c>
    </row>
    <row r="802" spans="1:13" x14ac:dyDescent="0.25">
      <c r="A802">
        <v>2010</v>
      </c>
      <c r="B802" t="s">
        <v>259</v>
      </c>
      <c r="C802">
        <v>27053</v>
      </c>
      <c r="D802" t="s">
        <v>274</v>
      </c>
      <c r="E802" t="s">
        <v>261</v>
      </c>
      <c r="F802" t="s">
        <v>270</v>
      </c>
      <c r="G802" t="s">
        <v>263</v>
      </c>
      <c r="H802">
        <v>327108.605030943</v>
      </c>
      <c r="I802" t="s">
        <v>264</v>
      </c>
      <c r="J802" t="s">
        <v>265</v>
      </c>
      <c r="K802">
        <v>891080</v>
      </c>
      <c r="L802" t="s">
        <v>281</v>
      </c>
      <c r="M802">
        <v>0.37</v>
      </c>
    </row>
    <row r="803" spans="1:13" x14ac:dyDescent="0.25">
      <c r="A803">
        <v>2010</v>
      </c>
      <c r="B803" t="s">
        <v>259</v>
      </c>
      <c r="C803">
        <v>27053</v>
      </c>
      <c r="D803" t="s">
        <v>274</v>
      </c>
      <c r="E803" t="s">
        <v>261</v>
      </c>
      <c r="F803" t="s">
        <v>270</v>
      </c>
      <c r="G803" t="s">
        <v>267</v>
      </c>
      <c r="H803">
        <v>1110003.52809567</v>
      </c>
      <c r="I803" t="s">
        <v>264</v>
      </c>
      <c r="J803" t="s">
        <v>265</v>
      </c>
      <c r="K803">
        <v>891080</v>
      </c>
      <c r="L803" t="s">
        <v>281</v>
      </c>
      <c r="M803">
        <v>1.25</v>
      </c>
    </row>
    <row r="804" spans="1:13" x14ac:dyDescent="0.25">
      <c r="A804">
        <v>2010</v>
      </c>
      <c r="B804" t="s">
        <v>259</v>
      </c>
      <c r="C804">
        <v>27053</v>
      </c>
      <c r="D804" t="s">
        <v>274</v>
      </c>
      <c r="E804" t="s">
        <v>261</v>
      </c>
      <c r="F804" t="s">
        <v>270</v>
      </c>
      <c r="G804" t="s">
        <v>269</v>
      </c>
      <c r="H804">
        <v>458.47621831553198</v>
      </c>
      <c r="I804" t="s">
        <v>264</v>
      </c>
      <c r="J804" t="s">
        <v>265</v>
      </c>
      <c r="K804">
        <v>891080</v>
      </c>
      <c r="L804" t="s">
        <v>281</v>
      </c>
      <c r="M804">
        <v>0</v>
      </c>
    </row>
    <row r="805" spans="1:13" x14ac:dyDescent="0.25">
      <c r="A805">
        <v>2010</v>
      </c>
      <c r="B805" t="s">
        <v>259</v>
      </c>
      <c r="C805">
        <v>27123</v>
      </c>
      <c r="D805" t="s">
        <v>275</v>
      </c>
      <c r="E805" t="s">
        <v>261</v>
      </c>
      <c r="F805" t="s">
        <v>262</v>
      </c>
      <c r="G805" t="s">
        <v>263</v>
      </c>
      <c r="H805">
        <v>1541534.86217469</v>
      </c>
      <c r="I805" t="s">
        <v>264</v>
      </c>
      <c r="J805" t="s">
        <v>265</v>
      </c>
      <c r="K805">
        <v>390147</v>
      </c>
      <c r="L805" t="s">
        <v>281</v>
      </c>
      <c r="M805">
        <v>3.95</v>
      </c>
    </row>
    <row r="806" spans="1:13" x14ac:dyDescent="0.25">
      <c r="A806">
        <v>2010</v>
      </c>
      <c r="B806" t="s">
        <v>259</v>
      </c>
      <c r="C806">
        <v>27123</v>
      </c>
      <c r="D806" t="s">
        <v>275</v>
      </c>
      <c r="E806" t="s">
        <v>261</v>
      </c>
      <c r="F806" t="s">
        <v>262</v>
      </c>
      <c r="G806" t="s">
        <v>267</v>
      </c>
      <c r="H806">
        <v>19500.770798374098</v>
      </c>
      <c r="I806" t="s">
        <v>264</v>
      </c>
      <c r="J806" t="s">
        <v>265</v>
      </c>
      <c r="K806">
        <v>390147</v>
      </c>
      <c r="L806" t="s">
        <v>281</v>
      </c>
      <c r="M806">
        <v>0.05</v>
      </c>
    </row>
    <row r="807" spans="1:13" x14ac:dyDescent="0.25">
      <c r="A807">
        <v>2010</v>
      </c>
      <c r="B807" t="s">
        <v>259</v>
      </c>
      <c r="C807">
        <v>27123</v>
      </c>
      <c r="D807" t="s">
        <v>275</v>
      </c>
      <c r="E807" t="s">
        <v>261</v>
      </c>
      <c r="F807" t="s">
        <v>262</v>
      </c>
      <c r="G807" t="s">
        <v>269</v>
      </c>
      <c r="H807">
        <v>1102.59977027636</v>
      </c>
      <c r="I807" t="s">
        <v>264</v>
      </c>
      <c r="J807" t="s">
        <v>265</v>
      </c>
      <c r="K807">
        <v>390147</v>
      </c>
      <c r="L807" t="s">
        <v>281</v>
      </c>
      <c r="M807">
        <v>0</v>
      </c>
    </row>
    <row r="808" spans="1:13" x14ac:dyDescent="0.25">
      <c r="A808">
        <v>2010</v>
      </c>
      <c r="B808" t="s">
        <v>259</v>
      </c>
      <c r="C808">
        <v>27123</v>
      </c>
      <c r="D808" t="s">
        <v>275</v>
      </c>
      <c r="E808" t="s">
        <v>261</v>
      </c>
      <c r="F808" t="s">
        <v>268</v>
      </c>
      <c r="G808" t="s">
        <v>263</v>
      </c>
      <c r="H808">
        <v>1885.02218386871</v>
      </c>
      <c r="I808" t="s">
        <v>264</v>
      </c>
      <c r="J808" t="s">
        <v>265</v>
      </c>
      <c r="K808">
        <v>390147</v>
      </c>
      <c r="L808" t="s">
        <v>281</v>
      </c>
      <c r="M808">
        <v>0</v>
      </c>
    </row>
    <row r="809" spans="1:13" x14ac:dyDescent="0.25">
      <c r="A809">
        <v>2010</v>
      </c>
      <c r="B809" t="s">
        <v>259</v>
      </c>
      <c r="C809">
        <v>27123</v>
      </c>
      <c r="D809" t="s">
        <v>275</v>
      </c>
      <c r="E809" t="s">
        <v>261</v>
      </c>
      <c r="F809" t="s">
        <v>268</v>
      </c>
      <c r="G809" t="s">
        <v>267</v>
      </c>
      <c r="H809">
        <v>19371.060449574601</v>
      </c>
      <c r="I809" t="s">
        <v>264</v>
      </c>
      <c r="J809" t="s">
        <v>265</v>
      </c>
      <c r="K809">
        <v>390147</v>
      </c>
      <c r="L809" t="s">
        <v>281</v>
      </c>
      <c r="M809">
        <v>0.05</v>
      </c>
    </row>
    <row r="810" spans="1:13" x14ac:dyDescent="0.25">
      <c r="A810">
        <v>2010</v>
      </c>
      <c r="B810" t="s">
        <v>259</v>
      </c>
      <c r="C810">
        <v>27123</v>
      </c>
      <c r="D810" t="s">
        <v>275</v>
      </c>
      <c r="E810" t="s">
        <v>261</v>
      </c>
      <c r="F810" t="s">
        <v>268</v>
      </c>
      <c r="G810" t="s">
        <v>269</v>
      </c>
      <c r="H810">
        <v>102.72939788806001</v>
      </c>
      <c r="I810" t="s">
        <v>264</v>
      </c>
      <c r="J810" t="s">
        <v>265</v>
      </c>
      <c r="K810">
        <v>390147</v>
      </c>
      <c r="L810" t="s">
        <v>281</v>
      </c>
      <c r="M810">
        <v>0</v>
      </c>
    </row>
    <row r="811" spans="1:13" x14ac:dyDescent="0.25">
      <c r="A811">
        <v>2010</v>
      </c>
      <c r="B811" t="s">
        <v>259</v>
      </c>
      <c r="C811">
        <v>27123</v>
      </c>
      <c r="D811" t="s">
        <v>275</v>
      </c>
      <c r="E811" t="s">
        <v>261</v>
      </c>
      <c r="F811" t="s">
        <v>270</v>
      </c>
      <c r="G811" t="s">
        <v>263</v>
      </c>
      <c r="H811">
        <v>129996.041539167</v>
      </c>
      <c r="I811" t="s">
        <v>264</v>
      </c>
      <c r="J811" t="s">
        <v>265</v>
      </c>
      <c r="K811">
        <v>390147</v>
      </c>
      <c r="L811" t="s">
        <v>281</v>
      </c>
      <c r="M811">
        <v>0.33</v>
      </c>
    </row>
    <row r="812" spans="1:13" x14ac:dyDescent="0.25">
      <c r="A812">
        <v>2010</v>
      </c>
      <c r="B812" t="s">
        <v>259</v>
      </c>
      <c r="C812">
        <v>27123</v>
      </c>
      <c r="D812" t="s">
        <v>275</v>
      </c>
      <c r="E812" t="s">
        <v>261</v>
      </c>
      <c r="F812" t="s">
        <v>270</v>
      </c>
      <c r="G812" t="s">
        <v>267</v>
      </c>
      <c r="H812">
        <v>470166.98981680098</v>
      </c>
      <c r="I812" t="s">
        <v>264</v>
      </c>
      <c r="J812" t="s">
        <v>265</v>
      </c>
      <c r="K812">
        <v>390147</v>
      </c>
      <c r="L812" t="s">
        <v>281</v>
      </c>
      <c r="M812">
        <v>1.21</v>
      </c>
    </row>
    <row r="813" spans="1:13" x14ac:dyDescent="0.25">
      <c r="A813">
        <v>2010</v>
      </c>
      <c r="B813" t="s">
        <v>259</v>
      </c>
      <c r="C813">
        <v>27123</v>
      </c>
      <c r="D813" t="s">
        <v>275</v>
      </c>
      <c r="E813" t="s">
        <v>261</v>
      </c>
      <c r="F813" t="s">
        <v>270</v>
      </c>
      <c r="G813" t="s">
        <v>269</v>
      </c>
      <c r="H813">
        <v>170.29971224304799</v>
      </c>
      <c r="I813" t="s">
        <v>264</v>
      </c>
      <c r="J813" t="s">
        <v>265</v>
      </c>
      <c r="K813">
        <v>390147</v>
      </c>
      <c r="L813" t="s">
        <v>281</v>
      </c>
      <c r="M813">
        <v>0</v>
      </c>
    </row>
    <row r="814" spans="1:13" x14ac:dyDescent="0.25">
      <c r="A814">
        <v>2010</v>
      </c>
      <c r="B814" t="s">
        <v>259</v>
      </c>
      <c r="C814">
        <v>27139</v>
      </c>
      <c r="D814" t="s">
        <v>276</v>
      </c>
      <c r="E814" t="s">
        <v>261</v>
      </c>
      <c r="F814" t="s">
        <v>262</v>
      </c>
      <c r="G814" t="s">
        <v>263</v>
      </c>
      <c r="H814">
        <v>464917.16232532001</v>
      </c>
      <c r="I814" t="s">
        <v>264</v>
      </c>
      <c r="J814" t="s">
        <v>265</v>
      </c>
      <c r="K814">
        <v>90700</v>
      </c>
      <c r="L814" t="s">
        <v>281</v>
      </c>
      <c r="M814">
        <v>5.13</v>
      </c>
    </row>
    <row r="815" spans="1:13" x14ac:dyDescent="0.25">
      <c r="A815">
        <v>2010</v>
      </c>
      <c r="B815" t="s">
        <v>259</v>
      </c>
      <c r="C815">
        <v>27139</v>
      </c>
      <c r="D815" t="s">
        <v>276</v>
      </c>
      <c r="E815" t="s">
        <v>261</v>
      </c>
      <c r="F815" t="s">
        <v>262</v>
      </c>
      <c r="G815" t="s">
        <v>267</v>
      </c>
      <c r="H815">
        <v>16298.4343800768</v>
      </c>
      <c r="I815" t="s">
        <v>264</v>
      </c>
      <c r="J815" t="s">
        <v>265</v>
      </c>
      <c r="K815">
        <v>90700</v>
      </c>
      <c r="L815" t="s">
        <v>281</v>
      </c>
      <c r="M815">
        <v>0.18</v>
      </c>
    </row>
    <row r="816" spans="1:13" x14ac:dyDescent="0.25">
      <c r="A816">
        <v>2010</v>
      </c>
      <c r="B816" t="s">
        <v>259</v>
      </c>
      <c r="C816">
        <v>27139</v>
      </c>
      <c r="D816" t="s">
        <v>276</v>
      </c>
      <c r="E816" t="s">
        <v>261</v>
      </c>
      <c r="F816" t="s">
        <v>262</v>
      </c>
      <c r="G816" t="s">
        <v>269</v>
      </c>
      <c r="H816">
        <v>534.44373956747904</v>
      </c>
      <c r="I816" t="s">
        <v>264</v>
      </c>
      <c r="J816" t="s">
        <v>265</v>
      </c>
      <c r="K816">
        <v>90700</v>
      </c>
      <c r="L816" t="s">
        <v>281</v>
      </c>
      <c r="M816">
        <v>0.01</v>
      </c>
    </row>
    <row r="817" spans="1:13" x14ac:dyDescent="0.25">
      <c r="A817">
        <v>2010</v>
      </c>
      <c r="B817" t="s">
        <v>259</v>
      </c>
      <c r="C817">
        <v>27139</v>
      </c>
      <c r="D817" t="s">
        <v>276</v>
      </c>
      <c r="E817" t="s">
        <v>261</v>
      </c>
      <c r="F817" t="s">
        <v>268</v>
      </c>
      <c r="G817" t="s">
        <v>263</v>
      </c>
      <c r="H817">
        <v>554.38959521452102</v>
      </c>
      <c r="I817" t="s">
        <v>264</v>
      </c>
      <c r="J817" t="s">
        <v>265</v>
      </c>
      <c r="K817">
        <v>90700</v>
      </c>
      <c r="L817" t="s">
        <v>281</v>
      </c>
      <c r="M817">
        <v>0.01</v>
      </c>
    </row>
    <row r="818" spans="1:13" x14ac:dyDescent="0.25">
      <c r="A818">
        <v>2010</v>
      </c>
      <c r="B818" t="s">
        <v>259</v>
      </c>
      <c r="C818">
        <v>27139</v>
      </c>
      <c r="D818" t="s">
        <v>276</v>
      </c>
      <c r="E818" t="s">
        <v>261</v>
      </c>
      <c r="F818" t="s">
        <v>268</v>
      </c>
      <c r="G818" t="s">
        <v>267</v>
      </c>
      <c r="H818">
        <v>5737.1272589441396</v>
      </c>
      <c r="I818" t="s">
        <v>264</v>
      </c>
      <c r="J818" t="s">
        <v>265</v>
      </c>
      <c r="K818">
        <v>90700</v>
      </c>
      <c r="L818" t="s">
        <v>281</v>
      </c>
      <c r="M818">
        <v>0.06</v>
      </c>
    </row>
    <row r="819" spans="1:13" x14ac:dyDescent="0.25">
      <c r="A819">
        <v>2010</v>
      </c>
      <c r="B819" t="s">
        <v>259</v>
      </c>
      <c r="C819">
        <v>27139</v>
      </c>
      <c r="D819" t="s">
        <v>276</v>
      </c>
      <c r="E819" t="s">
        <v>261</v>
      </c>
      <c r="F819" t="s">
        <v>268</v>
      </c>
      <c r="G819" t="s">
        <v>269</v>
      </c>
      <c r="H819">
        <v>69.089073699983103</v>
      </c>
      <c r="I819" t="s">
        <v>264</v>
      </c>
      <c r="J819" t="s">
        <v>265</v>
      </c>
      <c r="K819">
        <v>90700</v>
      </c>
      <c r="L819" t="s">
        <v>281</v>
      </c>
      <c r="M819">
        <v>0</v>
      </c>
    </row>
    <row r="820" spans="1:13" x14ac:dyDescent="0.25">
      <c r="A820">
        <v>2010</v>
      </c>
      <c r="B820" t="s">
        <v>259</v>
      </c>
      <c r="C820">
        <v>27139</v>
      </c>
      <c r="D820" t="s">
        <v>276</v>
      </c>
      <c r="E820" t="s">
        <v>261</v>
      </c>
      <c r="F820" t="s">
        <v>270</v>
      </c>
      <c r="G820" t="s">
        <v>263</v>
      </c>
      <c r="H820">
        <v>27147.423141564701</v>
      </c>
      <c r="I820" t="s">
        <v>264</v>
      </c>
      <c r="J820" t="s">
        <v>265</v>
      </c>
      <c r="K820">
        <v>90700</v>
      </c>
      <c r="L820" t="s">
        <v>281</v>
      </c>
      <c r="M820">
        <v>0.3</v>
      </c>
    </row>
    <row r="821" spans="1:13" x14ac:dyDescent="0.25">
      <c r="A821">
        <v>2010</v>
      </c>
      <c r="B821" t="s">
        <v>259</v>
      </c>
      <c r="C821">
        <v>27139</v>
      </c>
      <c r="D821" t="s">
        <v>276</v>
      </c>
      <c r="E821" t="s">
        <v>261</v>
      </c>
      <c r="F821" t="s">
        <v>270</v>
      </c>
      <c r="G821" t="s">
        <v>267</v>
      </c>
      <c r="H821">
        <v>140120.35280750901</v>
      </c>
      <c r="I821" t="s">
        <v>264</v>
      </c>
      <c r="J821" t="s">
        <v>265</v>
      </c>
      <c r="K821">
        <v>90700</v>
      </c>
      <c r="L821" t="s">
        <v>281</v>
      </c>
      <c r="M821">
        <v>1.54</v>
      </c>
    </row>
    <row r="822" spans="1:13" x14ac:dyDescent="0.25">
      <c r="A822">
        <v>2010</v>
      </c>
      <c r="B822" t="s">
        <v>259</v>
      </c>
      <c r="C822">
        <v>27139</v>
      </c>
      <c r="D822" t="s">
        <v>276</v>
      </c>
      <c r="E822" t="s">
        <v>261</v>
      </c>
      <c r="F822" t="s">
        <v>270</v>
      </c>
      <c r="G822" t="s">
        <v>269</v>
      </c>
      <c r="H822">
        <v>37.979944695606697</v>
      </c>
      <c r="I822" t="s">
        <v>264</v>
      </c>
      <c r="J822" t="s">
        <v>265</v>
      </c>
      <c r="K822">
        <v>90700</v>
      </c>
      <c r="L822" t="s">
        <v>281</v>
      </c>
      <c r="M822">
        <v>0</v>
      </c>
    </row>
    <row r="823" spans="1:13" x14ac:dyDescent="0.25">
      <c r="A823">
        <v>2010</v>
      </c>
      <c r="B823" t="s">
        <v>259</v>
      </c>
      <c r="C823">
        <v>27141</v>
      </c>
      <c r="D823" t="s">
        <v>277</v>
      </c>
      <c r="E823" t="s">
        <v>261</v>
      </c>
      <c r="F823" t="s">
        <v>262</v>
      </c>
      <c r="G823" t="s">
        <v>263</v>
      </c>
      <c r="H823">
        <v>307351.76018148102</v>
      </c>
      <c r="I823" t="s">
        <v>264</v>
      </c>
      <c r="J823" t="s">
        <v>265</v>
      </c>
      <c r="K823">
        <v>62722</v>
      </c>
      <c r="L823" t="s">
        <v>281</v>
      </c>
      <c r="M823">
        <v>4.9000000000000004</v>
      </c>
    </row>
    <row r="824" spans="1:13" x14ac:dyDescent="0.25">
      <c r="A824">
        <v>2010</v>
      </c>
      <c r="B824" t="s">
        <v>259</v>
      </c>
      <c r="C824">
        <v>27141</v>
      </c>
      <c r="D824" t="s">
        <v>277</v>
      </c>
      <c r="E824" t="s">
        <v>261</v>
      </c>
      <c r="F824" t="s">
        <v>262</v>
      </c>
      <c r="G824" t="s">
        <v>267</v>
      </c>
      <c r="H824">
        <v>16286.110125237999</v>
      </c>
      <c r="I824" t="s">
        <v>264</v>
      </c>
      <c r="J824" t="s">
        <v>265</v>
      </c>
      <c r="K824">
        <v>62722</v>
      </c>
      <c r="L824" t="s">
        <v>281</v>
      </c>
      <c r="M824">
        <v>0.26</v>
      </c>
    </row>
    <row r="825" spans="1:13" x14ac:dyDescent="0.25">
      <c r="A825">
        <v>2010</v>
      </c>
      <c r="B825" t="s">
        <v>259</v>
      </c>
      <c r="C825">
        <v>27141</v>
      </c>
      <c r="D825" t="s">
        <v>277</v>
      </c>
      <c r="E825" t="s">
        <v>261</v>
      </c>
      <c r="F825" t="s">
        <v>262</v>
      </c>
      <c r="G825" t="s">
        <v>269</v>
      </c>
      <c r="H825">
        <v>381.47530407604103</v>
      </c>
      <c r="I825" t="s">
        <v>264</v>
      </c>
      <c r="J825" t="s">
        <v>265</v>
      </c>
      <c r="K825">
        <v>62722</v>
      </c>
      <c r="L825" t="s">
        <v>281</v>
      </c>
      <c r="M825">
        <v>0.01</v>
      </c>
    </row>
    <row r="826" spans="1:13" x14ac:dyDescent="0.25">
      <c r="A826">
        <v>2010</v>
      </c>
      <c r="B826" t="s">
        <v>259</v>
      </c>
      <c r="C826">
        <v>27141</v>
      </c>
      <c r="D826" t="s">
        <v>277</v>
      </c>
      <c r="E826" t="s">
        <v>261</v>
      </c>
      <c r="F826" t="s">
        <v>268</v>
      </c>
      <c r="G826" t="s">
        <v>263</v>
      </c>
      <c r="H826">
        <v>220.90318095296499</v>
      </c>
      <c r="I826" t="s">
        <v>264</v>
      </c>
      <c r="J826" t="s">
        <v>265</v>
      </c>
      <c r="K826">
        <v>62722</v>
      </c>
      <c r="L826" t="s">
        <v>281</v>
      </c>
      <c r="M826">
        <v>0</v>
      </c>
    </row>
    <row r="827" spans="1:13" x14ac:dyDescent="0.25">
      <c r="A827">
        <v>2010</v>
      </c>
      <c r="B827" t="s">
        <v>259</v>
      </c>
      <c r="C827">
        <v>27141</v>
      </c>
      <c r="D827" t="s">
        <v>277</v>
      </c>
      <c r="E827" t="s">
        <v>261</v>
      </c>
      <c r="F827" t="s">
        <v>268</v>
      </c>
      <c r="G827" t="s">
        <v>267</v>
      </c>
      <c r="H827">
        <v>3820.7468591577999</v>
      </c>
      <c r="I827" t="s">
        <v>264</v>
      </c>
      <c r="J827" t="s">
        <v>265</v>
      </c>
      <c r="K827">
        <v>62722</v>
      </c>
      <c r="L827" t="s">
        <v>281</v>
      </c>
      <c r="M827">
        <v>0.06</v>
      </c>
    </row>
    <row r="828" spans="1:13" x14ac:dyDescent="0.25">
      <c r="A828">
        <v>2010</v>
      </c>
      <c r="B828" t="s">
        <v>259</v>
      </c>
      <c r="C828">
        <v>27141</v>
      </c>
      <c r="D828" t="s">
        <v>277</v>
      </c>
      <c r="E828" t="s">
        <v>261</v>
      </c>
      <c r="F828" t="s">
        <v>268</v>
      </c>
      <c r="G828" t="s">
        <v>269</v>
      </c>
      <c r="H828">
        <v>57.886548832834102</v>
      </c>
      <c r="I828" t="s">
        <v>264</v>
      </c>
      <c r="J828" t="s">
        <v>265</v>
      </c>
      <c r="K828">
        <v>62722</v>
      </c>
      <c r="L828" t="s">
        <v>281</v>
      </c>
      <c r="M828">
        <v>0</v>
      </c>
    </row>
    <row r="829" spans="1:13" x14ac:dyDescent="0.25">
      <c r="A829">
        <v>2010</v>
      </c>
      <c r="B829" t="s">
        <v>259</v>
      </c>
      <c r="C829">
        <v>27141</v>
      </c>
      <c r="D829" t="s">
        <v>277</v>
      </c>
      <c r="E829" t="s">
        <v>261</v>
      </c>
      <c r="F829" t="s">
        <v>270</v>
      </c>
      <c r="G829" t="s">
        <v>263</v>
      </c>
      <c r="H829">
        <v>16579.169588483001</v>
      </c>
      <c r="I829" t="s">
        <v>264</v>
      </c>
      <c r="J829" t="s">
        <v>265</v>
      </c>
      <c r="K829">
        <v>62722</v>
      </c>
      <c r="L829" t="s">
        <v>281</v>
      </c>
      <c r="M829">
        <v>0.26</v>
      </c>
    </row>
    <row r="830" spans="1:13" x14ac:dyDescent="0.25">
      <c r="A830">
        <v>2010</v>
      </c>
      <c r="B830" t="s">
        <v>259</v>
      </c>
      <c r="C830">
        <v>27141</v>
      </c>
      <c r="D830" t="s">
        <v>277</v>
      </c>
      <c r="E830" t="s">
        <v>261</v>
      </c>
      <c r="F830" t="s">
        <v>270</v>
      </c>
      <c r="G830" t="s">
        <v>267</v>
      </c>
      <c r="H830">
        <v>93985.838387312106</v>
      </c>
      <c r="I830" t="s">
        <v>264</v>
      </c>
      <c r="J830" t="s">
        <v>265</v>
      </c>
      <c r="K830">
        <v>62722</v>
      </c>
      <c r="L830" t="s">
        <v>281</v>
      </c>
      <c r="M830">
        <v>1.5</v>
      </c>
    </row>
    <row r="831" spans="1:13" x14ac:dyDescent="0.25">
      <c r="A831">
        <v>2010</v>
      </c>
      <c r="B831" t="s">
        <v>259</v>
      </c>
      <c r="C831">
        <v>27141</v>
      </c>
      <c r="D831" t="s">
        <v>277</v>
      </c>
      <c r="E831" t="s">
        <v>261</v>
      </c>
      <c r="F831" t="s">
        <v>270</v>
      </c>
      <c r="G831" t="s">
        <v>269</v>
      </c>
      <c r="H831">
        <v>20.563513137619299</v>
      </c>
      <c r="I831" t="s">
        <v>264</v>
      </c>
      <c r="J831" t="s">
        <v>265</v>
      </c>
      <c r="K831">
        <v>62722</v>
      </c>
      <c r="L831" t="s">
        <v>281</v>
      </c>
      <c r="M831">
        <v>0</v>
      </c>
    </row>
    <row r="832" spans="1:13" x14ac:dyDescent="0.25">
      <c r="A832">
        <v>2010</v>
      </c>
      <c r="B832" t="s">
        <v>259</v>
      </c>
      <c r="C832">
        <v>27163</v>
      </c>
      <c r="D832" t="s">
        <v>278</v>
      </c>
      <c r="E832" t="s">
        <v>261</v>
      </c>
      <c r="F832" t="s">
        <v>262</v>
      </c>
      <c r="G832" t="s">
        <v>263</v>
      </c>
      <c r="H832">
        <v>812841.72165683296</v>
      </c>
      <c r="I832" t="s">
        <v>264</v>
      </c>
      <c r="J832" t="s">
        <v>265</v>
      </c>
      <c r="K832">
        <v>174538</v>
      </c>
      <c r="L832" t="s">
        <v>281</v>
      </c>
      <c r="M832">
        <v>4.66</v>
      </c>
    </row>
    <row r="833" spans="1:13" x14ac:dyDescent="0.25">
      <c r="A833">
        <v>2010</v>
      </c>
      <c r="B833" t="s">
        <v>259</v>
      </c>
      <c r="C833">
        <v>27163</v>
      </c>
      <c r="D833" t="s">
        <v>278</v>
      </c>
      <c r="E833" t="s">
        <v>261</v>
      </c>
      <c r="F833" t="s">
        <v>262</v>
      </c>
      <c r="G833" t="s">
        <v>267</v>
      </c>
      <c r="H833">
        <v>24317.153750872902</v>
      </c>
      <c r="I833" t="s">
        <v>264</v>
      </c>
      <c r="J833" t="s">
        <v>265</v>
      </c>
      <c r="K833">
        <v>174538</v>
      </c>
      <c r="L833" t="s">
        <v>281</v>
      </c>
      <c r="M833">
        <v>0.14000000000000001</v>
      </c>
    </row>
    <row r="834" spans="1:13" x14ac:dyDescent="0.25">
      <c r="A834">
        <v>2010</v>
      </c>
      <c r="B834" t="s">
        <v>259</v>
      </c>
      <c r="C834">
        <v>27163</v>
      </c>
      <c r="D834" t="s">
        <v>278</v>
      </c>
      <c r="E834" t="s">
        <v>261</v>
      </c>
      <c r="F834" t="s">
        <v>262</v>
      </c>
      <c r="G834" t="s">
        <v>269</v>
      </c>
      <c r="H834">
        <v>827.37755543358503</v>
      </c>
      <c r="I834" t="s">
        <v>264</v>
      </c>
      <c r="J834" t="s">
        <v>265</v>
      </c>
      <c r="K834">
        <v>174538</v>
      </c>
      <c r="L834" t="s">
        <v>281</v>
      </c>
      <c r="M834">
        <v>0</v>
      </c>
    </row>
    <row r="835" spans="1:13" x14ac:dyDescent="0.25">
      <c r="A835">
        <v>2010</v>
      </c>
      <c r="B835" t="s">
        <v>259</v>
      </c>
      <c r="C835">
        <v>27163</v>
      </c>
      <c r="D835" t="s">
        <v>278</v>
      </c>
      <c r="E835" t="s">
        <v>261</v>
      </c>
      <c r="F835" t="s">
        <v>268</v>
      </c>
      <c r="G835" t="s">
        <v>263</v>
      </c>
      <c r="H835">
        <v>460.92424000088198</v>
      </c>
      <c r="I835" t="s">
        <v>264</v>
      </c>
      <c r="J835" t="s">
        <v>265</v>
      </c>
      <c r="K835">
        <v>174538</v>
      </c>
      <c r="L835" t="s">
        <v>281</v>
      </c>
      <c r="M835">
        <v>0</v>
      </c>
    </row>
    <row r="836" spans="1:13" x14ac:dyDescent="0.25">
      <c r="A836">
        <v>2010</v>
      </c>
      <c r="B836" t="s">
        <v>259</v>
      </c>
      <c r="C836">
        <v>27163</v>
      </c>
      <c r="D836" t="s">
        <v>278</v>
      </c>
      <c r="E836" t="s">
        <v>261</v>
      </c>
      <c r="F836" t="s">
        <v>268</v>
      </c>
      <c r="G836" t="s">
        <v>267</v>
      </c>
      <c r="H836">
        <v>10690.298741357999</v>
      </c>
      <c r="I836" t="s">
        <v>264</v>
      </c>
      <c r="J836" t="s">
        <v>265</v>
      </c>
      <c r="K836">
        <v>174538</v>
      </c>
      <c r="L836" t="s">
        <v>281</v>
      </c>
      <c r="M836">
        <v>0.06</v>
      </c>
    </row>
    <row r="837" spans="1:13" x14ac:dyDescent="0.25">
      <c r="A837">
        <v>2010</v>
      </c>
      <c r="B837" t="s">
        <v>259</v>
      </c>
      <c r="C837">
        <v>27163</v>
      </c>
      <c r="D837" t="s">
        <v>278</v>
      </c>
      <c r="E837" t="s">
        <v>261</v>
      </c>
      <c r="F837" t="s">
        <v>268</v>
      </c>
      <c r="G837" t="s">
        <v>269</v>
      </c>
      <c r="H837">
        <v>199.45664432327601</v>
      </c>
      <c r="I837" t="s">
        <v>264</v>
      </c>
      <c r="J837" t="s">
        <v>265</v>
      </c>
      <c r="K837">
        <v>174538</v>
      </c>
      <c r="L837" t="s">
        <v>281</v>
      </c>
      <c r="M837">
        <v>0</v>
      </c>
    </row>
    <row r="838" spans="1:13" x14ac:dyDescent="0.25">
      <c r="A838">
        <v>2010</v>
      </c>
      <c r="B838" t="s">
        <v>259</v>
      </c>
      <c r="C838">
        <v>27163</v>
      </c>
      <c r="D838" t="s">
        <v>278</v>
      </c>
      <c r="E838" t="s">
        <v>261</v>
      </c>
      <c r="F838" t="s">
        <v>270</v>
      </c>
      <c r="G838" t="s">
        <v>263</v>
      </c>
      <c r="H838">
        <v>38267.845490894702</v>
      </c>
      <c r="I838" t="s">
        <v>264</v>
      </c>
      <c r="J838" t="s">
        <v>265</v>
      </c>
      <c r="K838">
        <v>174538</v>
      </c>
      <c r="L838" t="s">
        <v>281</v>
      </c>
      <c r="M838">
        <v>0.22</v>
      </c>
    </row>
    <row r="839" spans="1:13" x14ac:dyDescent="0.25">
      <c r="A839">
        <v>2010</v>
      </c>
      <c r="B839" t="s">
        <v>259</v>
      </c>
      <c r="C839">
        <v>27163</v>
      </c>
      <c r="D839" t="s">
        <v>278</v>
      </c>
      <c r="E839" t="s">
        <v>261</v>
      </c>
      <c r="F839" t="s">
        <v>270</v>
      </c>
      <c r="G839" t="s">
        <v>267</v>
      </c>
      <c r="H839">
        <v>248057.68318451699</v>
      </c>
      <c r="I839" t="s">
        <v>264</v>
      </c>
      <c r="J839" t="s">
        <v>265</v>
      </c>
      <c r="K839">
        <v>174538</v>
      </c>
      <c r="L839" t="s">
        <v>281</v>
      </c>
      <c r="M839">
        <v>1.42</v>
      </c>
    </row>
    <row r="840" spans="1:13" x14ac:dyDescent="0.25">
      <c r="A840">
        <v>2010</v>
      </c>
      <c r="B840" t="s">
        <v>259</v>
      </c>
      <c r="C840">
        <v>27163</v>
      </c>
      <c r="D840" t="s">
        <v>278</v>
      </c>
      <c r="E840" t="s">
        <v>261</v>
      </c>
      <c r="F840" t="s">
        <v>270</v>
      </c>
      <c r="G840" t="s">
        <v>269</v>
      </c>
      <c r="H840">
        <v>49.290021380091702</v>
      </c>
      <c r="I840" t="s">
        <v>264</v>
      </c>
      <c r="J840" t="s">
        <v>265</v>
      </c>
      <c r="K840">
        <v>174538</v>
      </c>
      <c r="L840" t="s">
        <v>281</v>
      </c>
      <c r="M840">
        <v>0</v>
      </c>
    </row>
    <row r="841" spans="1:13" x14ac:dyDescent="0.25">
      <c r="A841">
        <v>2010</v>
      </c>
      <c r="B841" t="s">
        <v>259</v>
      </c>
      <c r="C841">
        <v>55093</v>
      </c>
      <c r="D841" t="s">
        <v>279</v>
      </c>
      <c r="E841" t="s">
        <v>261</v>
      </c>
      <c r="F841" t="s">
        <v>262</v>
      </c>
      <c r="G841" t="s">
        <v>263</v>
      </c>
      <c r="H841">
        <v>122114.879646445</v>
      </c>
      <c r="I841" t="s">
        <v>264</v>
      </c>
      <c r="J841" t="s">
        <v>265</v>
      </c>
      <c r="K841">
        <v>31860</v>
      </c>
      <c r="L841" t="s">
        <v>281</v>
      </c>
      <c r="M841">
        <v>3.83</v>
      </c>
    </row>
    <row r="842" spans="1:13" x14ac:dyDescent="0.25">
      <c r="A842">
        <v>2010</v>
      </c>
      <c r="B842" t="s">
        <v>259</v>
      </c>
      <c r="C842">
        <v>55093</v>
      </c>
      <c r="D842" t="s">
        <v>279</v>
      </c>
      <c r="E842" t="s">
        <v>261</v>
      </c>
      <c r="F842" t="s">
        <v>262</v>
      </c>
      <c r="G842" t="s">
        <v>267</v>
      </c>
      <c r="H842">
        <v>7032.09180339862</v>
      </c>
      <c r="I842" t="s">
        <v>264</v>
      </c>
      <c r="J842" t="s">
        <v>265</v>
      </c>
      <c r="K842">
        <v>31860</v>
      </c>
      <c r="L842" t="s">
        <v>281</v>
      </c>
      <c r="M842">
        <v>0.22</v>
      </c>
    </row>
    <row r="843" spans="1:13" x14ac:dyDescent="0.25">
      <c r="A843">
        <v>2010</v>
      </c>
      <c r="B843" t="s">
        <v>259</v>
      </c>
      <c r="C843">
        <v>55093</v>
      </c>
      <c r="D843" t="s">
        <v>279</v>
      </c>
      <c r="E843" t="s">
        <v>261</v>
      </c>
      <c r="F843" t="s">
        <v>262</v>
      </c>
      <c r="G843" t="s">
        <v>269</v>
      </c>
      <c r="H843">
        <v>139.64412694909601</v>
      </c>
      <c r="I843" t="s">
        <v>264</v>
      </c>
      <c r="J843" t="s">
        <v>265</v>
      </c>
      <c r="K843">
        <v>31860</v>
      </c>
      <c r="L843" t="s">
        <v>281</v>
      </c>
      <c r="M843">
        <v>0</v>
      </c>
    </row>
    <row r="844" spans="1:13" x14ac:dyDescent="0.25">
      <c r="A844">
        <v>2010</v>
      </c>
      <c r="B844" t="s">
        <v>259</v>
      </c>
      <c r="C844">
        <v>55093</v>
      </c>
      <c r="D844" t="s">
        <v>279</v>
      </c>
      <c r="E844" t="s">
        <v>261</v>
      </c>
      <c r="F844" t="s">
        <v>268</v>
      </c>
      <c r="G844" t="s">
        <v>263</v>
      </c>
      <c r="H844">
        <v>121.50802833538</v>
      </c>
      <c r="I844" t="s">
        <v>264</v>
      </c>
      <c r="J844" t="s">
        <v>265</v>
      </c>
      <c r="K844">
        <v>31860</v>
      </c>
      <c r="L844" t="s">
        <v>281</v>
      </c>
      <c r="M844">
        <v>0</v>
      </c>
    </row>
    <row r="845" spans="1:13" x14ac:dyDescent="0.25">
      <c r="A845">
        <v>2010</v>
      </c>
      <c r="B845" t="s">
        <v>259</v>
      </c>
      <c r="C845">
        <v>55093</v>
      </c>
      <c r="D845" t="s">
        <v>279</v>
      </c>
      <c r="E845" t="s">
        <v>261</v>
      </c>
      <c r="F845" t="s">
        <v>268</v>
      </c>
      <c r="G845" t="s">
        <v>267</v>
      </c>
      <c r="H845">
        <v>2067.6357050061501</v>
      </c>
      <c r="I845" t="s">
        <v>264</v>
      </c>
      <c r="J845" t="s">
        <v>265</v>
      </c>
      <c r="K845">
        <v>31860</v>
      </c>
      <c r="L845" t="s">
        <v>281</v>
      </c>
      <c r="M845">
        <v>0.06</v>
      </c>
    </row>
    <row r="846" spans="1:13" x14ac:dyDescent="0.25">
      <c r="A846">
        <v>2010</v>
      </c>
      <c r="B846" t="s">
        <v>259</v>
      </c>
      <c r="C846">
        <v>55093</v>
      </c>
      <c r="D846" t="s">
        <v>279</v>
      </c>
      <c r="E846" t="s">
        <v>261</v>
      </c>
      <c r="F846" t="s">
        <v>268</v>
      </c>
      <c r="G846" t="s">
        <v>269</v>
      </c>
      <c r="H846">
        <v>49.269906504774497</v>
      </c>
      <c r="I846" t="s">
        <v>264</v>
      </c>
      <c r="J846" t="s">
        <v>265</v>
      </c>
      <c r="K846">
        <v>31860</v>
      </c>
      <c r="L846" t="s">
        <v>281</v>
      </c>
      <c r="M846">
        <v>0</v>
      </c>
    </row>
    <row r="847" spans="1:13" x14ac:dyDescent="0.25">
      <c r="A847">
        <v>2010</v>
      </c>
      <c r="B847" t="s">
        <v>259</v>
      </c>
      <c r="C847">
        <v>55093</v>
      </c>
      <c r="D847" t="s">
        <v>279</v>
      </c>
      <c r="E847" t="s">
        <v>261</v>
      </c>
      <c r="F847" t="s">
        <v>270</v>
      </c>
      <c r="G847" t="s">
        <v>263</v>
      </c>
      <c r="H847">
        <v>6721.9902215495104</v>
      </c>
      <c r="I847" t="s">
        <v>264</v>
      </c>
      <c r="J847" t="s">
        <v>265</v>
      </c>
      <c r="K847">
        <v>31860</v>
      </c>
      <c r="L847" t="s">
        <v>281</v>
      </c>
      <c r="M847">
        <v>0.21</v>
      </c>
    </row>
    <row r="848" spans="1:13" x14ac:dyDescent="0.25">
      <c r="A848">
        <v>2010</v>
      </c>
      <c r="B848" t="s">
        <v>259</v>
      </c>
      <c r="C848">
        <v>55093</v>
      </c>
      <c r="D848" t="s">
        <v>279</v>
      </c>
      <c r="E848" t="s">
        <v>261</v>
      </c>
      <c r="F848" t="s">
        <v>270</v>
      </c>
      <c r="G848" t="s">
        <v>267</v>
      </c>
      <c r="H848">
        <v>21786.508512736898</v>
      </c>
      <c r="I848" t="s">
        <v>264</v>
      </c>
      <c r="J848" t="s">
        <v>265</v>
      </c>
      <c r="K848">
        <v>31860</v>
      </c>
      <c r="L848" t="s">
        <v>281</v>
      </c>
      <c r="M848">
        <v>0.68</v>
      </c>
    </row>
    <row r="849" spans="1:13" x14ac:dyDescent="0.25">
      <c r="A849">
        <v>2010</v>
      </c>
      <c r="B849" t="s">
        <v>259</v>
      </c>
      <c r="C849">
        <v>55093</v>
      </c>
      <c r="D849" t="s">
        <v>279</v>
      </c>
      <c r="E849" t="s">
        <v>261</v>
      </c>
      <c r="F849" t="s">
        <v>270</v>
      </c>
      <c r="G849" t="s">
        <v>269</v>
      </c>
      <c r="H849">
        <v>8.5088831881208709</v>
      </c>
      <c r="I849" t="s">
        <v>264</v>
      </c>
      <c r="J849" t="s">
        <v>265</v>
      </c>
      <c r="K849">
        <v>31860</v>
      </c>
      <c r="L849" t="s">
        <v>281</v>
      </c>
      <c r="M849">
        <v>0</v>
      </c>
    </row>
    <row r="850" spans="1:13" x14ac:dyDescent="0.25">
      <c r="A850">
        <v>2010</v>
      </c>
      <c r="B850" t="s">
        <v>259</v>
      </c>
      <c r="C850">
        <v>55109</v>
      </c>
      <c r="D850" t="s">
        <v>280</v>
      </c>
      <c r="E850" t="s">
        <v>261</v>
      </c>
      <c r="F850" t="s">
        <v>262</v>
      </c>
      <c r="G850" t="s">
        <v>263</v>
      </c>
      <c r="H850">
        <v>404566.93105148</v>
      </c>
      <c r="I850" t="s">
        <v>264</v>
      </c>
      <c r="J850" t="s">
        <v>265</v>
      </c>
      <c r="K850">
        <v>61462</v>
      </c>
      <c r="L850" t="s">
        <v>281</v>
      </c>
      <c r="M850">
        <v>6.58</v>
      </c>
    </row>
    <row r="851" spans="1:13" x14ac:dyDescent="0.25">
      <c r="A851">
        <v>2010</v>
      </c>
      <c r="B851" t="s">
        <v>259</v>
      </c>
      <c r="C851">
        <v>55109</v>
      </c>
      <c r="D851" t="s">
        <v>280</v>
      </c>
      <c r="E851" t="s">
        <v>261</v>
      </c>
      <c r="F851" t="s">
        <v>262</v>
      </c>
      <c r="G851" t="s">
        <v>267</v>
      </c>
      <c r="H851">
        <v>23148.575254446099</v>
      </c>
      <c r="I851" t="s">
        <v>264</v>
      </c>
      <c r="J851" t="s">
        <v>265</v>
      </c>
      <c r="K851">
        <v>61462</v>
      </c>
      <c r="L851" t="s">
        <v>281</v>
      </c>
      <c r="M851">
        <v>0.38</v>
      </c>
    </row>
    <row r="852" spans="1:13" x14ac:dyDescent="0.25">
      <c r="A852">
        <v>2010</v>
      </c>
      <c r="B852" t="s">
        <v>259</v>
      </c>
      <c r="C852">
        <v>55109</v>
      </c>
      <c r="D852" t="s">
        <v>280</v>
      </c>
      <c r="E852" t="s">
        <v>261</v>
      </c>
      <c r="F852" t="s">
        <v>262</v>
      </c>
      <c r="G852" t="s">
        <v>269</v>
      </c>
      <c r="H852">
        <v>424.34151491414298</v>
      </c>
      <c r="I852" t="s">
        <v>264</v>
      </c>
      <c r="J852" t="s">
        <v>265</v>
      </c>
      <c r="K852">
        <v>61462</v>
      </c>
      <c r="L852" t="s">
        <v>281</v>
      </c>
      <c r="M852">
        <v>0.01</v>
      </c>
    </row>
    <row r="853" spans="1:13" x14ac:dyDescent="0.25">
      <c r="A853">
        <v>2010</v>
      </c>
      <c r="B853" t="s">
        <v>259</v>
      </c>
      <c r="C853">
        <v>55109</v>
      </c>
      <c r="D853" t="s">
        <v>280</v>
      </c>
      <c r="E853" t="s">
        <v>261</v>
      </c>
      <c r="F853" t="s">
        <v>268</v>
      </c>
      <c r="G853" t="s">
        <v>263</v>
      </c>
      <c r="H853">
        <v>288.143902181057</v>
      </c>
      <c r="I853" t="s">
        <v>264</v>
      </c>
      <c r="J853" t="s">
        <v>265</v>
      </c>
      <c r="K853">
        <v>61462</v>
      </c>
      <c r="L853" t="s">
        <v>281</v>
      </c>
      <c r="M853">
        <v>0</v>
      </c>
    </row>
    <row r="854" spans="1:13" x14ac:dyDescent="0.25">
      <c r="A854">
        <v>2010</v>
      </c>
      <c r="B854" t="s">
        <v>259</v>
      </c>
      <c r="C854">
        <v>55109</v>
      </c>
      <c r="D854" t="s">
        <v>280</v>
      </c>
      <c r="E854" t="s">
        <v>261</v>
      </c>
      <c r="F854" t="s">
        <v>268</v>
      </c>
      <c r="G854" t="s">
        <v>267</v>
      </c>
      <c r="H854">
        <v>6544.9860321142096</v>
      </c>
      <c r="I854" t="s">
        <v>264</v>
      </c>
      <c r="J854" t="s">
        <v>265</v>
      </c>
      <c r="K854">
        <v>61462</v>
      </c>
      <c r="L854" t="s">
        <v>281</v>
      </c>
      <c r="M854">
        <v>0.11</v>
      </c>
    </row>
    <row r="855" spans="1:13" x14ac:dyDescent="0.25">
      <c r="A855">
        <v>2010</v>
      </c>
      <c r="B855" t="s">
        <v>259</v>
      </c>
      <c r="C855">
        <v>55109</v>
      </c>
      <c r="D855" t="s">
        <v>280</v>
      </c>
      <c r="E855" t="s">
        <v>261</v>
      </c>
      <c r="F855" t="s">
        <v>268</v>
      </c>
      <c r="G855" t="s">
        <v>269</v>
      </c>
      <c r="H855">
        <v>97.817236458382098</v>
      </c>
      <c r="I855" t="s">
        <v>264</v>
      </c>
      <c r="J855" t="s">
        <v>265</v>
      </c>
      <c r="K855">
        <v>61462</v>
      </c>
      <c r="L855" t="s">
        <v>281</v>
      </c>
      <c r="M855">
        <v>0</v>
      </c>
    </row>
    <row r="856" spans="1:13" x14ac:dyDescent="0.25">
      <c r="A856">
        <v>2010</v>
      </c>
      <c r="B856" t="s">
        <v>259</v>
      </c>
      <c r="C856">
        <v>55109</v>
      </c>
      <c r="D856" t="s">
        <v>280</v>
      </c>
      <c r="E856" t="s">
        <v>261</v>
      </c>
      <c r="F856" t="s">
        <v>270</v>
      </c>
      <c r="G856" t="s">
        <v>263</v>
      </c>
      <c r="H856">
        <v>23787.370351238402</v>
      </c>
      <c r="I856" t="s">
        <v>264</v>
      </c>
      <c r="J856" t="s">
        <v>265</v>
      </c>
      <c r="K856">
        <v>61462</v>
      </c>
      <c r="L856" t="s">
        <v>281</v>
      </c>
      <c r="M856">
        <v>0.39</v>
      </c>
    </row>
    <row r="857" spans="1:13" x14ac:dyDescent="0.25">
      <c r="A857">
        <v>2010</v>
      </c>
      <c r="B857" t="s">
        <v>259</v>
      </c>
      <c r="C857">
        <v>55109</v>
      </c>
      <c r="D857" t="s">
        <v>280</v>
      </c>
      <c r="E857" t="s">
        <v>261</v>
      </c>
      <c r="F857" t="s">
        <v>270</v>
      </c>
      <c r="G857" t="s">
        <v>267</v>
      </c>
      <c r="H857">
        <v>151615.31047397299</v>
      </c>
      <c r="I857" t="s">
        <v>264</v>
      </c>
      <c r="J857" t="s">
        <v>265</v>
      </c>
      <c r="K857">
        <v>61462</v>
      </c>
      <c r="L857" t="s">
        <v>281</v>
      </c>
      <c r="M857">
        <v>2.4700000000000002</v>
      </c>
    </row>
    <row r="858" spans="1:13" x14ac:dyDescent="0.25">
      <c r="A858">
        <v>2010</v>
      </c>
      <c r="B858" t="s">
        <v>259</v>
      </c>
      <c r="C858">
        <v>55109</v>
      </c>
      <c r="D858" t="s">
        <v>280</v>
      </c>
      <c r="E858" t="s">
        <v>261</v>
      </c>
      <c r="F858" t="s">
        <v>270</v>
      </c>
      <c r="G858" t="s">
        <v>269</v>
      </c>
      <c r="H858">
        <v>28.2401105471513</v>
      </c>
      <c r="I858" t="s">
        <v>264</v>
      </c>
      <c r="J858" t="s">
        <v>265</v>
      </c>
      <c r="K858">
        <v>61462</v>
      </c>
      <c r="L858" t="s">
        <v>281</v>
      </c>
      <c r="M858">
        <v>0</v>
      </c>
    </row>
    <row r="859" spans="1:13" x14ac:dyDescent="0.25">
      <c r="A859">
        <v>2011</v>
      </c>
      <c r="B859" t="s">
        <v>259</v>
      </c>
      <c r="C859">
        <v>27003</v>
      </c>
      <c r="D859" t="s">
        <v>260</v>
      </c>
      <c r="E859" t="s">
        <v>261</v>
      </c>
      <c r="F859" t="s">
        <v>262</v>
      </c>
      <c r="G859" t="s">
        <v>263</v>
      </c>
      <c r="H859">
        <v>1062162.6940069399</v>
      </c>
      <c r="I859" t="s">
        <v>264</v>
      </c>
      <c r="J859" t="s">
        <v>265</v>
      </c>
      <c r="K859">
        <v>332921</v>
      </c>
      <c r="L859" t="s">
        <v>282</v>
      </c>
      <c r="M859">
        <v>3.19</v>
      </c>
    </row>
    <row r="860" spans="1:13" x14ac:dyDescent="0.25">
      <c r="A860">
        <v>2011</v>
      </c>
      <c r="B860" t="s">
        <v>259</v>
      </c>
      <c r="C860">
        <v>27003</v>
      </c>
      <c r="D860" t="s">
        <v>260</v>
      </c>
      <c r="E860" t="s">
        <v>261</v>
      </c>
      <c r="F860" t="s">
        <v>262</v>
      </c>
      <c r="G860" t="s">
        <v>267</v>
      </c>
      <c r="H860">
        <v>30387.265530151799</v>
      </c>
      <c r="I860" t="s">
        <v>264</v>
      </c>
      <c r="J860" t="s">
        <v>265</v>
      </c>
      <c r="K860">
        <v>332921</v>
      </c>
      <c r="L860" t="s">
        <v>282</v>
      </c>
      <c r="M860">
        <v>0.09</v>
      </c>
    </row>
    <row r="861" spans="1:13" x14ac:dyDescent="0.25">
      <c r="A861">
        <v>2011</v>
      </c>
      <c r="B861" t="s">
        <v>259</v>
      </c>
      <c r="C861">
        <v>27003</v>
      </c>
      <c r="D861" t="s">
        <v>260</v>
      </c>
      <c r="E861" t="s">
        <v>261</v>
      </c>
      <c r="F861" t="s">
        <v>262</v>
      </c>
      <c r="G861" t="s">
        <v>269</v>
      </c>
      <c r="H861">
        <v>1244.72833213387</v>
      </c>
      <c r="I861" t="s">
        <v>264</v>
      </c>
      <c r="J861" t="s">
        <v>265</v>
      </c>
      <c r="K861">
        <v>332921</v>
      </c>
      <c r="L861" t="s">
        <v>282</v>
      </c>
      <c r="M861">
        <v>0</v>
      </c>
    </row>
    <row r="862" spans="1:13" x14ac:dyDescent="0.25">
      <c r="A862">
        <v>2011</v>
      </c>
      <c r="B862" t="s">
        <v>259</v>
      </c>
      <c r="C862">
        <v>27003</v>
      </c>
      <c r="D862" t="s">
        <v>260</v>
      </c>
      <c r="E862" t="s">
        <v>261</v>
      </c>
      <c r="F862" t="s">
        <v>268</v>
      </c>
      <c r="G862" t="s">
        <v>263</v>
      </c>
      <c r="H862">
        <v>589.53578237355703</v>
      </c>
      <c r="I862" t="s">
        <v>264</v>
      </c>
      <c r="J862" t="s">
        <v>265</v>
      </c>
      <c r="K862">
        <v>332921</v>
      </c>
      <c r="L862" t="s">
        <v>282</v>
      </c>
      <c r="M862">
        <v>0</v>
      </c>
    </row>
    <row r="863" spans="1:13" x14ac:dyDescent="0.25">
      <c r="A863">
        <v>2011</v>
      </c>
      <c r="B863" t="s">
        <v>259</v>
      </c>
      <c r="C863">
        <v>27003</v>
      </c>
      <c r="D863" t="s">
        <v>260</v>
      </c>
      <c r="E863" t="s">
        <v>261</v>
      </c>
      <c r="F863" t="s">
        <v>268</v>
      </c>
      <c r="G863" t="s">
        <v>267</v>
      </c>
      <c r="H863">
        <v>14141.8797013936</v>
      </c>
      <c r="I863" t="s">
        <v>264</v>
      </c>
      <c r="J863" t="s">
        <v>265</v>
      </c>
      <c r="K863">
        <v>332921</v>
      </c>
      <c r="L863" t="s">
        <v>282</v>
      </c>
      <c r="M863">
        <v>0.04</v>
      </c>
    </row>
    <row r="864" spans="1:13" x14ac:dyDescent="0.25">
      <c r="A864">
        <v>2011</v>
      </c>
      <c r="B864" t="s">
        <v>259</v>
      </c>
      <c r="C864">
        <v>27003</v>
      </c>
      <c r="D864" t="s">
        <v>260</v>
      </c>
      <c r="E864" t="s">
        <v>261</v>
      </c>
      <c r="F864" t="s">
        <v>268</v>
      </c>
      <c r="G864" t="s">
        <v>269</v>
      </c>
      <c r="H864">
        <v>9.3722737632587503</v>
      </c>
      <c r="I864" t="s">
        <v>264</v>
      </c>
      <c r="J864" t="s">
        <v>265</v>
      </c>
      <c r="K864">
        <v>332921</v>
      </c>
      <c r="L864" t="s">
        <v>282</v>
      </c>
      <c r="M864">
        <v>0</v>
      </c>
    </row>
    <row r="865" spans="1:13" x14ac:dyDescent="0.25">
      <c r="A865">
        <v>2011</v>
      </c>
      <c r="B865" t="s">
        <v>259</v>
      </c>
      <c r="C865">
        <v>27003</v>
      </c>
      <c r="D865" t="s">
        <v>260</v>
      </c>
      <c r="E865" t="s">
        <v>261</v>
      </c>
      <c r="F865" t="s">
        <v>270</v>
      </c>
      <c r="G865" t="s">
        <v>263</v>
      </c>
      <c r="H865">
        <v>80558.037221538398</v>
      </c>
      <c r="I865" t="s">
        <v>264</v>
      </c>
      <c r="J865" t="s">
        <v>265</v>
      </c>
      <c r="K865">
        <v>332921</v>
      </c>
      <c r="L865" t="s">
        <v>282</v>
      </c>
      <c r="M865">
        <v>0.24</v>
      </c>
    </row>
    <row r="866" spans="1:13" x14ac:dyDescent="0.25">
      <c r="A866">
        <v>2011</v>
      </c>
      <c r="B866" t="s">
        <v>259</v>
      </c>
      <c r="C866">
        <v>27003</v>
      </c>
      <c r="D866" t="s">
        <v>260</v>
      </c>
      <c r="E866" t="s">
        <v>261</v>
      </c>
      <c r="F866" t="s">
        <v>270</v>
      </c>
      <c r="G866" t="s">
        <v>267</v>
      </c>
      <c r="H866">
        <v>299160.95874742698</v>
      </c>
      <c r="I866" t="s">
        <v>264</v>
      </c>
      <c r="J866" t="s">
        <v>265</v>
      </c>
      <c r="K866">
        <v>332921</v>
      </c>
      <c r="L866" t="s">
        <v>282</v>
      </c>
      <c r="M866">
        <v>0.9</v>
      </c>
    </row>
    <row r="867" spans="1:13" x14ac:dyDescent="0.25">
      <c r="A867">
        <v>2011</v>
      </c>
      <c r="B867" t="s">
        <v>259</v>
      </c>
      <c r="C867">
        <v>27003</v>
      </c>
      <c r="D867" t="s">
        <v>260</v>
      </c>
      <c r="E867" t="s">
        <v>261</v>
      </c>
      <c r="F867" t="s">
        <v>270</v>
      </c>
      <c r="G867" t="s">
        <v>269</v>
      </c>
      <c r="H867">
        <v>107.48444740260599</v>
      </c>
      <c r="I867" t="s">
        <v>264</v>
      </c>
      <c r="J867" t="s">
        <v>265</v>
      </c>
      <c r="K867">
        <v>332921</v>
      </c>
      <c r="L867" t="s">
        <v>282</v>
      </c>
      <c r="M867">
        <v>0</v>
      </c>
    </row>
    <row r="868" spans="1:13" x14ac:dyDescent="0.25">
      <c r="A868">
        <v>2011</v>
      </c>
      <c r="B868" t="s">
        <v>259</v>
      </c>
      <c r="C868">
        <v>27019</v>
      </c>
      <c r="D868" t="s">
        <v>271</v>
      </c>
      <c r="E868" t="s">
        <v>261</v>
      </c>
      <c r="F868" t="s">
        <v>262</v>
      </c>
      <c r="G868" t="s">
        <v>263</v>
      </c>
      <c r="H868">
        <v>318866.239155602</v>
      </c>
      <c r="I868" t="s">
        <v>264</v>
      </c>
      <c r="J868" t="s">
        <v>265</v>
      </c>
      <c r="K868">
        <v>92752</v>
      </c>
      <c r="L868" t="s">
        <v>282</v>
      </c>
      <c r="M868">
        <v>3.44</v>
      </c>
    </row>
    <row r="869" spans="1:13" x14ac:dyDescent="0.25">
      <c r="A869">
        <v>2011</v>
      </c>
      <c r="B869" t="s">
        <v>259</v>
      </c>
      <c r="C869">
        <v>27019</v>
      </c>
      <c r="D869" t="s">
        <v>271</v>
      </c>
      <c r="E869" t="s">
        <v>261</v>
      </c>
      <c r="F869" t="s">
        <v>262</v>
      </c>
      <c r="G869" t="s">
        <v>267</v>
      </c>
      <c r="H869">
        <v>11409.9262494709</v>
      </c>
      <c r="I869" t="s">
        <v>264</v>
      </c>
      <c r="J869" t="s">
        <v>265</v>
      </c>
      <c r="K869">
        <v>92752</v>
      </c>
      <c r="L869" t="s">
        <v>282</v>
      </c>
      <c r="M869">
        <v>0.12</v>
      </c>
    </row>
    <row r="870" spans="1:13" x14ac:dyDescent="0.25">
      <c r="A870">
        <v>2011</v>
      </c>
      <c r="B870" t="s">
        <v>259</v>
      </c>
      <c r="C870">
        <v>27019</v>
      </c>
      <c r="D870" t="s">
        <v>271</v>
      </c>
      <c r="E870" t="s">
        <v>261</v>
      </c>
      <c r="F870" t="s">
        <v>262</v>
      </c>
      <c r="G870" t="s">
        <v>269</v>
      </c>
      <c r="H870">
        <v>409.45154041747799</v>
      </c>
      <c r="I870" t="s">
        <v>264</v>
      </c>
      <c r="J870" t="s">
        <v>265</v>
      </c>
      <c r="K870">
        <v>92752</v>
      </c>
      <c r="L870" t="s">
        <v>282</v>
      </c>
      <c r="M870">
        <v>0</v>
      </c>
    </row>
    <row r="871" spans="1:13" x14ac:dyDescent="0.25">
      <c r="A871">
        <v>2011</v>
      </c>
      <c r="B871" t="s">
        <v>259</v>
      </c>
      <c r="C871">
        <v>27019</v>
      </c>
      <c r="D871" t="s">
        <v>271</v>
      </c>
      <c r="E871" t="s">
        <v>261</v>
      </c>
      <c r="F871" t="s">
        <v>268</v>
      </c>
      <c r="G871" t="s">
        <v>263</v>
      </c>
      <c r="H871">
        <v>322.38165377705701</v>
      </c>
      <c r="I871" t="s">
        <v>264</v>
      </c>
      <c r="J871" t="s">
        <v>265</v>
      </c>
      <c r="K871">
        <v>92752</v>
      </c>
      <c r="L871" t="s">
        <v>282</v>
      </c>
      <c r="M871">
        <v>0</v>
      </c>
    </row>
    <row r="872" spans="1:13" x14ac:dyDescent="0.25">
      <c r="A872">
        <v>2011</v>
      </c>
      <c r="B872" t="s">
        <v>259</v>
      </c>
      <c r="C872">
        <v>27019</v>
      </c>
      <c r="D872" t="s">
        <v>271</v>
      </c>
      <c r="E872" t="s">
        <v>261</v>
      </c>
      <c r="F872" t="s">
        <v>268</v>
      </c>
      <c r="G872" t="s">
        <v>267</v>
      </c>
      <c r="H872">
        <v>3923.4537282430401</v>
      </c>
      <c r="I872" t="s">
        <v>264</v>
      </c>
      <c r="J872" t="s">
        <v>265</v>
      </c>
      <c r="K872">
        <v>92752</v>
      </c>
      <c r="L872" t="s">
        <v>282</v>
      </c>
      <c r="M872">
        <v>0.04</v>
      </c>
    </row>
    <row r="873" spans="1:13" x14ac:dyDescent="0.25">
      <c r="A873">
        <v>2011</v>
      </c>
      <c r="B873" t="s">
        <v>259</v>
      </c>
      <c r="C873">
        <v>27019</v>
      </c>
      <c r="D873" t="s">
        <v>271</v>
      </c>
      <c r="E873" t="s">
        <v>261</v>
      </c>
      <c r="F873" t="s">
        <v>268</v>
      </c>
      <c r="G873" t="s">
        <v>269</v>
      </c>
      <c r="H873">
        <v>141.282395731701</v>
      </c>
      <c r="I873" t="s">
        <v>264</v>
      </c>
      <c r="J873" t="s">
        <v>265</v>
      </c>
      <c r="K873">
        <v>92752</v>
      </c>
      <c r="L873" t="s">
        <v>282</v>
      </c>
      <c r="M873">
        <v>0</v>
      </c>
    </row>
    <row r="874" spans="1:13" x14ac:dyDescent="0.25">
      <c r="A874">
        <v>2011</v>
      </c>
      <c r="B874" t="s">
        <v>259</v>
      </c>
      <c r="C874">
        <v>27019</v>
      </c>
      <c r="D874" t="s">
        <v>271</v>
      </c>
      <c r="E874" t="s">
        <v>261</v>
      </c>
      <c r="F874" t="s">
        <v>270</v>
      </c>
      <c r="G874" t="s">
        <v>263</v>
      </c>
      <c r="H874">
        <v>16730.853224830698</v>
      </c>
      <c r="I874" t="s">
        <v>264</v>
      </c>
      <c r="J874" t="s">
        <v>265</v>
      </c>
      <c r="K874">
        <v>92752</v>
      </c>
      <c r="L874" t="s">
        <v>282</v>
      </c>
      <c r="M874">
        <v>0.18</v>
      </c>
    </row>
    <row r="875" spans="1:13" x14ac:dyDescent="0.25">
      <c r="A875">
        <v>2011</v>
      </c>
      <c r="B875" t="s">
        <v>259</v>
      </c>
      <c r="C875">
        <v>27019</v>
      </c>
      <c r="D875" t="s">
        <v>271</v>
      </c>
      <c r="E875" t="s">
        <v>261</v>
      </c>
      <c r="F875" t="s">
        <v>270</v>
      </c>
      <c r="G875" t="s">
        <v>267</v>
      </c>
      <c r="H875">
        <v>89502.192664095506</v>
      </c>
      <c r="I875" t="s">
        <v>264</v>
      </c>
      <c r="J875" t="s">
        <v>265</v>
      </c>
      <c r="K875">
        <v>92752</v>
      </c>
      <c r="L875" t="s">
        <v>282</v>
      </c>
      <c r="M875">
        <v>0.96</v>
      </c>
    </row>
    <row r="876" spans="1:13" x14ac:dyDescent="0.25">
      <c r="A876">
        <v>2011</v>
      </c>
      <c r="B876" t="s">
        <v>259</v>
      </c>
      <c r="C876">
        <v>27019</v>
      </c>
      <c r="D876" t="s">
        <v>271</v>
      </c>
      <c r="E876" t="s">
        <v>261</v>
      </c>
      <c r="F876" t="s">
        <v>270</v>
      </c>
      <c r="G876" t="s">
        <v>269</v>
      </c>
      <c r="H876">
        <v>31.6403546144528</v>
      </c>
      <c r="I876" t="s">
        <v>264</v>
      </c>
      <c r="J876" t="s">
        <v>265</v>
      </c>
      <c r="K876">
        <v>92752</v>
      </c>
      <c r="L876" t="s">
        <v>282</v>
      </c>
      <c r="M876">
        <v>0</v>
      </c>
    </row>
    <row r="877" spans="1:13" x14ac:dyDescent="0.25">
      <c r="A877">
        <v>2011</v>
      </c>
      <c r="B877" t="s">
        <v>259</v>
      </c>
      <c r="C877">
        <v>27025</v>
      </c>
      <c r="D877" t="s">
        <v>272</v>
      </c>
      <c r="E877" t="s">
        <v>261</v>
      </c>
      <c r="F877" t="s">
        <v>262</v>
      </c>
      <c r="G877" t="s">
        <v>263</v>
      </c>
      <c r="H877">
        <v>286488.50373040099</v>
      </c>
      <c r="I877" t="s">
        <v>264</v>
      </c>
      <c r="J877" t="s">
        <v>265</v>
      </c>
      <c r="K877">
        <v>53762</v>
      </c>
      <c r="L877" t="s">
        <v>282</v>
      </c>
      <c r="M877">
        <v>5.33</v>
      </c>
    </row>
    <row r="878" spans="1:13" x14ac:dyDescent="0.25">
      <c r="A878">
        <v>2011</v>
      </c>
      <c r="B878" t="s">
        <v>259</v>
      </c>
      <c r="C878">
        <v>27025</v>
      </c>
      <c r="D878" t="s">
        <v>272</v>
      </c>
      <c r="E878" t="s">
        <v>261</v>
      </c>
      <c r="F878" t="s">
        <v>262</v>
      </c>
      <c r="G878" t="s">
        <v>267</v>
      </c>
      <c r="H878">
        <v>17385.0486023431</v>
      </c>
      <c r="I878" t="s">
        <v>264</v>
      </c>
      <c r="J878" t="s">
        <v>265</v>
      </c>
      <c r="K878">
        <v>53762</v>
      </c>
      <c r="L878" t="s">
        <v>282</v>
      </c>
      <c r="M878">
        <v>0.32</v>
      </c>
    </row>
    <row r="879" spans="1:13" x14ac:dyDescent="0.25">
      <c r="A879">
        <v>2011</v>
      </c>
      <c r="B879" t="s">
        <v>259</v>
      </c>
      <c r="C879">
        <v>27025</v>
      </c>
      <c r="D879" t="s">
        <v>272</v>
      </c>
      <c r="E879" t="s">
        <v>261</v>
      </c>
      <c r="F879" t="s">
        <v>262</v>
      </c>
      <c r="G879" t="s">
        <v>269</v>
      </c>
      <c r="H879">
        <v>396.61918040922598</v>
      </c>
      <c r="I879" t="s">
        <v>264</v>
      </c>
      <c r="J879" t="s">
        <v>265</v>
      </c>
      <c r="K879">
        <v>53762</v>
      </c>
      <c r="L879" t="s">
        <v>282</v>
      </c>
      <c r="M879">
        <v>0.01</v>
      </c>
    </row>
    <row r="880" spans="1:13" x14ac:dyDescent="0.25">
      <c r="A880">
        <v>2011</v>
      </c>
      <c r="B880" t="s">
        <v>259</v>
      </c>
      <c r="C880">
        <v>27025</v>
      </c>
      <c r="D880" t="s">
        <v>272</v>
      </c>
      <c r="E880" t="s">
        <v>261</v>
      </c>
      <c r="F880" t="s">
        <v>268</v>
      </c>
      <c r="G880" t="s">
        <v>263</v>
      </c>
      <c r="H880">
        <v>469.15263985798299</v>
      </c>
      <c r="I880" t="s">
        <v>264</v>
      </c>
      <c r="J880" t="s">
        <v>265</v>
      </c>
      <c r="K880">
        <v>53762</v>
      </c>
      <c r="L880" t="s">
        <v>282</v>
      </c>
      <c r="M880">
        <v>0.01</v>
      </c>
    </row>
    <row r="881" spans="1:13" x14ac:dyDescent="0.25">
      <c r="A881">
        <v>2011</v>
      </c>
      <c r="B881" t="s">
        <v>259</v>
      </c>
      <c r="C881">
        <v>27025</v>
      </c>
      <c r="D881" t="s">
        <v>272</v>
      </c>
      <c r="E881" t="s">
        <v>261</v>
      </c>
      <c r="F881" t="s">
        <v>268</v>
      </c>
      <c r="G881" t="s">
        <v>267</v>
      </c>
      <c r="H881">
        <v>3329.3083269357098</v>
      </c>
      <c r="I881" t="s">
        <v>264</v>
      </c>
      <c r="J881" t="s">
        <v>265</v>
      </c>
      <c r="K881">
        <v>53762</v>
      </c>
      <c r="L881" t="s">
        <v>282</v>
      </c>
      <c r="M881">
        <v>0.06</v>
      </c>
    </row>
    <row r="882" spans="1:13" x14ac:dyDescent="0.25">
      <c r="A882">
        <v>2011</v>
      </c>
      <c r="B882" t="s">
        <v>259</v>
      </c>
      <c r="C882">
        <v>27025</v>
      </c>
      <c r="D882" t="s">
        <v>272</v>
      </c>
      <c r="E882" t="s">
        <v>261</v>
      </c>
      <c r="F882" t="s">
        <v>268</v>
      </c>
      <c r="G882" t="s">
        <v>269</v>
      </c>
      <c r="H882">
        <v>75.659480842912998</v>
      </c>
      <c r="I882" t="s">
        <v>264</v>
      </c>
      <c r="J882" t="s">
        <v>265</v>
      </c>
      <c r="K882">
        <v>53762</v>
      </c>
      <c r="L882" t="s">
        <v>282</v>
      </c>
      <c r="M882">
        <v>0</v>
      </c>
    </row>
    <row r="883" spans="1:13" x14ac:dyDescent="0.25">
      <c r="A883">
        <v>2011</v>
      </c>
      <c r="B883" t="s">
        <v>259</v>
      </c>
      <c r="C883">
        <v>27025</v>
      </c>
      <c r="D883" t="s">
        <v>272</v>
      </c>
      <c r="E883" t="s">
        <v>261</v>
      </c>
      <c r="F883" t="s">
        <v>270</v>
      </c>
      <c r="G883" t="s">
        <v>263</v>
      </c>
      <c r="H883">
        <v>12480.1764802658</v>
      </c>
      <c r="I883" t="s">
        <v>264</v>
      </c>
      <c r="J883" t="s">
        <v>265</v>
      </c>
      <c r="K883">
        <v>53762</v>
      </c>
      <c r="L883" t="s">
        <v>282</v>
      </c>
      <c r="M883">
        <v>0.23</v>
      </c>
    </row>
    <row r="884" spans="1:13" x14ac:dyDescent="0.25">
      <c r="A884">
        <v>2011</v>
      </c>
      <c r="B884" t="s">
        <v>259</v>
      </c>
      <c r="C884">
        <v>27025</v>
      </c>
      <c r="D884" t="s">
        <v>272</v>
      </c>
      <c r="E884" t="s">
        <v>261</v>
      </c>
      <c r="F884" t="s">
        <v>270</v>
      </c>
      <c r="G884" t="s">
        <v>267</v>
      </c>
      <c r="H884">
        <v>80006.930492006795</v>
      </c>
      <c r="I884" t="s">
        <v>264</v>
      </c>
      <c r="J884" t="s">
        <v>265</v>
      </c>
      <c r="K884">
        <v>53762</v>
      </c>
      <c r="L884" t="s">
        <v>282</v>
      </c>
      <c r="M884">
        <v>1.49</v>
      </c>
    </row>
    <row r="885" spans="1:13" x14ac:dyDescent="0.25">
      <c r="A885">
        <v>2011</v>
      </c>
      <c r="B885" t="s">
        <v>259</v>
      </c>
      <c r="C885">
        <v>27025</v>
      </c>
      <c r="D885" t="s">
        <v>272</v>
      </c>
      <c r="E885" t="s">
        <v>261</v>
      </c>
      <c r="F885" t="s">
        <v>270</v>
      </c>
      <c r="G885" t="s">
        <v>269</v>
      </c>
      <c r="H885">
        <v>17.312891766288899</v>
      </c>
      <c r="I885" t="s">
        <v>264</v>
      </c>
      <c r="J885" t="s">
        <v>265</v>
      </c>
      <c r="K885">
        <v>53762</v>
      </c>
      <c r="L885" t="s">
        <v>282</v>
      </c>
      <c r="M885">
        <v>0</v>
      </c>
    </row>
    <row r="886" spans="1:13" x14ac:dyDescent="0.25">
      <c r="A886">
        <v>2011</v>
      </c>
      <c r="B886" t="s">
        <v>259</v>
      </c>
      <c r="C886">
        <v>27037</v>
      </c>
      <c r="D886" t="s">
        <v>273</v>
      </c>
      <c r="E886" t="s">
        <v>261</v>
      </c>
      <c r="F886" t="s">
        <v>262</v>
      </c>
      <c r="G886" t="s">
        <v>263</v>
      </c>
      <c r="H886">
        <v>1378386.21889646</v>
      </c>
      <c r="I886" t="s">
        <v>264</v>
      </c>
      <c r="J886" t="s">
        <v>265</v>
      </c>
      <c r="K886">
        <v>401804</v>
      </c>
      <c r="L886" t="s">
        <v>282</v>
      </c>
      <c r="M886">
        <v>3.43</v>
      </c>
    </row>
    <row r="887" spans="1:13" x14ac:dyDescent="0.25">
      <c r="A887">
        <v>2011</v>
      </c>
      <c r="B887" t="s">
        <v>259</v>
      </c>
      <c r="C887">
        <v>27037</v>
      </c>
      <c r="D887" t="s">
        <v>273</v>
      </c>
      <c r="E887" t="s">
        <v>261</v>
      </c>
      <c r="F887" t="s">
        <v>262</v>
      </c>
      <c r="G887" t="s">
        <v>267</v>
      </c>
      <c r="H887">
        <v>29446.111522755698</v>
      </c>
      <c r="I887" t="s">
        <v>264</v>
      </c>
      <c r="J887" t="s">
        <v>265</v>
      </c>
      <c r="K887">
        <v>401804</v>
      </c>
      <c r="L887" t="s">
        <v>282</v>
      </c>
      <c r="M887">
        <v>7.0000000000000007E-2</v>
      </c>
    </row>
    <row r="888" spans="1:13" x14ac:dyDescent="0.25">
      <c r="A888">
        <v>2011</v>
      </c>
      <c r="B888" t="s">
        <v>259</v>
      </c>
      <c r="C888">
        <v>27037</v>
      </c>
      <c r="D888" t="s">
        <v>273</v>
      </c>
      <c r="E888" t="s">
        <v>261</v>
      </c>
      <c r="F888" t="s">
        <v>262</v>
      </c>
      <c r="G888" t="s">
        <v>269</v>
      </c>
      <c r="H888">
        <v>1592.4922914297999</v>
      </c>
      <c r="I888" t="s">
        <v>264</v>
      </c>
      <c r="J888" t="s">
        <v>265</v>
      </c>
      <c r="K888">
        <v>401804</v>
      </c>
      <c r="L888" t="s">
        <v>282</v>
      </c>
      <c r="M888">
        <v>0</v>
      </c>
    </row>
    <row r="889" spans="1:13" x14ac:dyDescent="0.25">
      <c r="A889">
        <v>2011</v>
      </c>
      <c r="B889" t="s">
        <v>259</v>
      </c>
      <c r="C889">
        <v>27037</v>
      </c>
      <c r="D889" t="s">
        <v>273</v>
      </c>
      <c r="E889" t="s">
        <v>261</v>
      </c>
      <c r="F889" t="s">
        <v>268</v>
      </c>
      <c r="G889" t="s">
        <v>263</v>
      </c>
      <c r="H889">
        <v>512.21979143086196</v>
      </c>
      <c r="I889" t="s">
        <v>264</v>
      </c>
      <c r="J889" t="s">
        <v>265</v>
      </c>
      <c r="K889">
        <v>401804</v>
      </c>
      <c r="L889" t="s">
        <v>282</v>
      </c>
      <c r="M889">
        <v>0</v>
      </c>
    </row>
    <row r="890" spans="1:13" x14ac:dyDescent="0.25">
      <c r="A890">
        <v>2011</v>
      </c>
      <c r="B890" t="s">
        <v>259</v>
      </c>
      <c r="C890">
        <v>27037</v>
      </c>
      <c r="D890" t="s">
        <v>273</v>
      </c>
      <c r="E890" t="s">
        <v>261</v>
      </c>
      <c r="F890" t="s">
        <v>268</v>
      </c>
      <c r="G890" t="s">
        <v>267</v>
      </c>
      <c r="H890">
        <v>18543.857551908299</v>
      </c>
      <c r="I890" t="s">
        <v>264</v>
      </c>
      <c r="J890" t="s">
        <v>265</v>
      </c>
      <c r="K890">
        <v>401804</v>
      </c>
      <c r="L890" t="s">
        <v>282</v>
      </c>
      <c r="M890">
        <v>0.05</v>
      </c>
    </row>
    <row r="891" spans="1:13" x14ac:dyDescent="0.25">
      <c r="A891">
        <v>2011</v>
      </c>
      <c r="B891" t="s">
        <v>259</v>
      </c>
      <c r="C891">
        <v>27037</v>
      </c>
      <c r="D891" t="s">
        <v>273</v>
      </c>
      <c r="E891" t="s">
        <v>261</v>
      </c>
      <c r="F891" t="s">
        <v>268</v>
      </c>
      <c r="G891" t="s">
        <v>269</v>
      </c>
      <c r="H891">
        <v>56.516830329924197</v>
      </c>
      <c r="I891" t="s">
        <v>264</v>
      </c>
      <c r="J891" t="s">
        <v>265</v>
      </c>
      <c r="K891">
        <v>401804</v>
      </c>
      <c r="L891" t="s">
        <v>282</v>
      </c>
      <c r="M891">
        <v>0</v>
      </c>
    </row>
    <row r="892" spans="1:13" x14ac:dyDescent="0.25">
      <c r="A892">
        <v>2011</v>
      </c>
      <c r="B892" t="s">
        <v>259</v>
      </c>
      <c r="C892">
        <v>27037</v>
      </c>
      <c r="D892" t="s">
        <v>273</v>
      </c>
      <c r="E892" t="s">
        <v>261</v>
      </c>
      <c r="F892" t="s">
        <v>270</v>
      </c>
      <c r="G892" t="s">
        <v>263</v>
      </c>
      <c r="H892">
        <v>82251.473243583896</v>
      </c>
      <c r="I892" t="s">
        <v>264</v>
      </c>
      <c r="J892" t="s">
        <v>265</v>
      </c>
      <c r="K892">
        <v>401804</v>
      </c>
      <c r="L892" t="s">
        <v>282</v>
      </c>
      <c r="M892">
        <v>0.2</v>
      </c>
    </row>
    <row r="893" spans="1:13" x14ac:dyDescent="0.25">
      <c r="A893">
        <v>2011</v>
      </c>
      <c r="B893" t="s">
        <v>259</v>
      </c>
      <c r="C893">
        <v>27037</v>
      </c>
      <c r="D893" t="s">
        <v>273</v>
      </c>
      <c r="E893" t="s">
        <v>261</v>
      </c>
      <c r="F893" t="s">
        <v>270</v>
      </c>
      <c r="G893" t="s">
        <v>267</v>
      </c>
      <c r="H893">
        <v>396391.42521447601</v>
      </c>
      <c r="I893" t="s">
        <v>264</v>
      </c>
      <c r="J893" t="s">
        <v>265</v>
      </c>
      <c r="K893">
        <v>401804</v>
      </c>
      <c r="L893" t="s">
        <v>282</v>
      </c>
      <c r="M893">
        <v>0.99</v>
      </c>
    </row>
    <row r="894" spans="1:13" x14ac:dyDescent="0.25">
      <c r="A894">
        <v>2011</v>
      </c>
      <c r="B894" t="s">
        <v>259</v>
      </c>
      <c r="C894">
        <v>27037</v>
      </c>
      <c r="D894" t="s">
        <v>273</v>
      </c>
      <c r="E894" t="s">
        <v>261</v>
      </c>
      <c r="F894" t="s">
        <v>270</v>
      </c>
      <c r="G894" t="s">
        <v>269</v>
      </c>
      <c r="H894">
        <v>146.040193505791</v>
      </c>
      <c r="I894" t="s">
        <v>264</v>
      </c>
      <c r="J894" t="s">
        <v>265</v>
      </c>
      <c r="K894">
        <v>401804</v>
      </c>
      <c r="L894" t="s">
        <v>282</v>
      </c>
      <c r="M894">
        <v>0</v>
      </c>
    </row>
    <row r="895" spans="1:13" x14ac:dyDescent="0.25">
      <c r="A895">
        <v>2011</v>
      </c>
      <c r="B895" t="s">
        <v>259</v>
      </c>
      <c r="C895">
        <v>27053</v>
      </c>
      <c r="D895" t="s">
        <v>274</v>
      </c>
      <c r="E895" t="s">
        <v>261</v>
      </c>
      <c r="F895" t="s">
        <v>262</v>
      </c>
      <c r="G895" t="s">
        <v>263</v>
      </c>
      <c r="H895">
        <v>3666646.5156243802</v>
      </c>
      <c r="I895" t="s">
        <v>264</v>
      </c>
      <c r="J895" t="s">
        <v>265</v>
      </c>
      <c r="K895">
        <v>1169581</v>
      </c>
      <c r="L895" t="s">
        <v>282</v>
      </c>
      <c r="M895">
        <v>3.14</v>
      </c>
    </row>
    <row r="896" spans="1:13" x14ac:dyDescent="0.25">
      <c r="A896">
        <v>2011</v>
      </c>
      <c r="B896" t="s">
        <v>259</v>
      </c>
      <c r="C896">
        <v>27053</v>
      </c>
      <c r="D896" t="s">
        <v>274</v>
      </c>
      <c r="E896" t="s">
        <v>261</v>
      </c>
      <c r="F896" t="s">
        <v>262</v>
      </c>
      <c r="G896" t="s">
        <v>267</v>
      </c>
      <c r="H896">
        <v>51987.814765036397</v>
      </c>
      <c r="I896" t="s">
        <v>264</v>
      </c>
      <c r="J896" t="s">
        <v>265</v>
      </c>
      <c r="K896">
        <v>1169581</v>
      </c>
      <c r="L896" t="s">
        <v>282</v>
      </c>
      <c r="M896">
        <v>0.04</v>
      </c>
    </row>
    <row r="897" spans="1:13" x14ac:dyDescent="0.25">
      <c r="A897">
        <v>2011</v>
      </c>
      <c r="B897" t="s">
        <v>259</v>
      </c>
      <c r="C897">
        <v>27053</v>
      </c>
      <c r="D897" t="s">
        <v>274</v>
      </c>
      <c r="E897" t="s">
        <v>261</v>
      </c>
      <c r="F897" t="s">
        <v>262</v>
      </c>
      <c r="G897" t="s">
        <v>269</v>
      </c>
      <c r="H897">
        <v>3420.23823573348</v>
      </c>
      <c r="I897" t="s">
        <v>264</v>
      </c>
      <c r="J897" t="s">
        <v>265</v>
      </c>
      <c r="K897">
        <v>1169581</v>
      </c>
      <c r="L897" t="s">
        <v>282</v>
      </c>
      <c r="M897">
        <v>0</v>
      </c>
    </row>
    <row r="898" spans="1:13" x14ac:dyDescent="0.25">
      <c r="A898">
        <v>2011</v>
      </c>
      <c r="B898" t="s">
        <v>259</v>
      </c>
      <c r="C898">
        <v>27053</v>
      </c>
      <c r="D898" t="s">
        <v>274</v>
      </c>
      <c r="E898" t="s">
        <v>261</v>
      </c>
      <c r="F898" t="s">
        <v>268</v>
      </c>
      <c r="G898" t="s">
        <v>263</v>
      </c>
      <c r="H898">
        <v>4111.6650015448004</v>
      </c>
      <c r="I898" t="s">
        <v>264</v>
      </c>
      <c r="J898" t="s">
        <v>265</v>
      </c>
      <c r="K898">
        <v>1169581</v>
      </c>
      <c r="L898" t="s">
        <v>282</v>
      </c>
      <c r="M898">
        <v>0</v>
      </c>
    </row>
    <row r="899" spans="1:13" x14ac:dyDescent="0.25">
      <c r="A899">
        <v>2011</v>
      </c>
      <c r="B899" t="s">
        <v>259</v>
      </c>
      <c r="C899">
        <v>27053</v>
      </c>
      <c r="D899" t="s">
        <v>274</v>
      </c>
      <c r="E899" t="s">
        <v>261</v>
      </c>
      <c r="F899" t="s">
        <v>268</v>
      </c>
      <c r="G899" t="s">
        <v>267</v>
      </c>
      <c r="H899">
        <v>49785.905333656403</v>
      </c>
      <c r="I899" t="s">
        <v>264</v>
      </c>
      <c r="J899" t="s">
        <v>265</v>
      </c>
      <c r="K899">
        <v>1169581</v>
      </c>
      <c r="L899" t="s">
        <v>282</v>
      </c>
      <c r="M899">
        <v>0.04</v>
      </c>
    </row>
    <row r="900" spans="1:13" x14ac:dyDescent="0.25">
      <c r="A900">
        <v>2011</v>
      </c>
      <c r="B900" t="s">
        <v>259</v>
      </c>
      <c r="C900">
        <v>27053</v>
      </c>
      <c r="D900" t="s">
        <v>274</v>
      </c>
      <c r="E900" t="s">
        <v>261</v>
      </c>
      <c r="F900" t="s">
        <v>268</v>
      </c>
      <c r="G900" t="s">
        <v>269</v>
      </c>
      <c r="H900">
        <v>14.039173917486499</v>
      </c>
      <c r="I900" t="s">
        <v>264</v>
      </c>
      <c r="J900" t="s">
        <v>265</v>
      </c>
      <c r="K900">
        <v>1169581</v>
      </c>
      <c r="L900" t="s">
        <v>282</v>
      </c>
      <c r="M900">
        <v>0</v>
      </c>
    </row>
    <row r="901" spans="1:13" x14ac:dyDescent="0.25">
      <c r="A901">
        <v>2011</v>
      </c>
      <c r="B901" t="s">
        <v>259</v>
      </c>
      <c r="C901">
        <v>27053</v>
      </c>
      <c r="D901" t="s">
        <v>274</v>
      </c>
      <c r="E901" t="s">
        <v>261</v>
      </c>
      <c r="F901" t="s">
        <v>270</v>
      </c>
      <c r="G901" t="s">
        <v>263</v>
      </c>
      <c r="H901">
        <v>337477.85035265598</v>
      </c>
      <c r="I901" t="s">
        <v>264</v>
      </c>
      <c r="J901" t="s">
        <v>265</v>
      </c>
      <c r="K901">
        <v>1169581</v>
      </c>
      <c r="L901" t="s">
        <v>282</v>
      </c>
      <c r="M901">
        <v>0.28999999999999998</v>
      </c>
    </row>
    <row r="902" spans="1:13" x14ac:dyDescent="0.25">
      <c r="A902">
        <v>2011</v>
      </c>
      <c r="B902" t="s">
        <v>259</v>
      </c>
      <c r="C902">
        <v>27053</v>
      </c>
      <c r="D902" t="s">
        <v>274</v>
      </c>
      <c r="E902" t="s">
        <v>261</v>
      </c>
      <c r="F902" t="s">
        <v>270</v>
      </c>
      <c r="G902" t="s">
        <v>267</v>
      </c>
      <c r="H902">
        <v>1034510.58510765</v>
      </c>
      <c r="I902" t="s">
        <v>264</v>
      </c>
      <c r="J902" t="s">
        <v>265</v>
      </c>
      <c r="K902">
        <v>1169581</v>
      </c>
      <c r="L902" t="s">
        <v>282</v>
      </c>
      <c r="M902">
        <v>0.88</v>
      </c>
    </row>
    <row r="903" spans="1:13" x14ac:dyDescent="0.25">
      <c r="A903">
        <v>2011</v>
      </c>
      <c r="B903" t="s">
        <v>259</v>
      </c>
      <c r="C903">
        <v>27053</v>
      </c>
      <c r="D903" t="s">
        <v>274</v>
      </c>
      <c r="E903" t="s">
        <v>261</v>
      </c>
      <c r="F903" t="s">
        <v>270</v>
      </c>
      <c r="G903" t="s">
        <v>269</v>
      </c>
      <c r="H903">
        <v>612.12509938945402</v>
      </c>
      <c r="I903" t="s">
        <v>264</v>
      </c>
      <c r="J903" t="s">
        <v>265</v>
      </c>
      <c r="K903">
        <v>1169581</v>
      </c>
      <c r="L903" t="s">
        <v>282</v>
      </c>
      <c r="M903">
        <v>0</v>
      </c>
    </row>
    <row r="904" spans="1:13" x14ac:dyDescent="0.25">
      <c r="A904">
        <v>2011</v>
      </c>
      <c r="B904" t="s">
        <v>259</v>
      </c>
      <c r="C904">
        <v>27123</v>
      </c>
      <c r="D904" t="s">
        <v>275</v>
      </c>
      <c r="E904" t="s">
        <v>261</v>
      </c>
      <c r="F904" t="s">
        <v>262</v>
      </c>
      <c r="G904" t="s">
        <v>263</v>
      </c>
      <c r="H904">
        <v>1533988.27392054</v>
      </c>
      <c r="I904" t="s">
        <v>264</v>
      </c>
      <c r="J904" t="s">
        <v>265</v>
      </c>
      <c r="K904">
        <v>515856</v>
      </c>
      <c r="L904" t="s">
        <v>282</v>
      </c>
      <c r="M904">
        <v>2.97</v>
      </c>
    </row>
    <row r="905" spans="1:13" x14ac:dyDescent="0.25">
      <c r="A905">
        <v>2011</v>
      </c>
      <c r="B905" t="s">
        <v>259</v>
      </c>
      <c r="C905">
        <v>27123</v>
      </c>
      <c r="D905" t="s">
        <v>275</v>
      </c>
      <c r="E905" t="s">
        <v>261</v>
      </c>
      <c r="F905" t="s">
        <v>262</v>
      </c>
      <c r="G905" t="s">
        <v>267</v>
      </c>
      <c r="H905">
        <v>20349.3979714456</v>
      </c>
      <c r="I905" t="s">
        <v>264</v>
      </c>
      <c r="J905" t="s">
        <v>265</v>
      </c>
      <c r="K905">
        <v>515856</v>
      </c>
      <c r="L905" t="s">
        <v>282</v>
      </c>
      <c r="M905">
        <v>0.04</v>
      </c>
    </row>
    <row r="906" spans="1:13" x14ac:dyDescent="0.25">
      <c r="A906">
        <v>2011</v>
      </c>
      <c r="B906" t="s">
        <v>259</v>
      </c>
      <c r="C906">
        <v>27123</v>
      </c>
      <c r="D906" t="s">
        <v>275</v>
      </c>
      <c r="E906" t="s">
        <v>261</v>
      </c>
      <c r="F906" t="s">
        <v>262</v>
      </c>
      <c r="G906" t="s">
        <v>269</v>
      </c>
      <c r="H906">
        <v>1308.4457947102901</v>
      </c>
      <c r="I906" t="s">
        <v>264</v>
      </c>
      <c r="J906" t="s">
        <v>265</v>
      </c>
      <c r="K906">
        <v>515856</v>
      </c>
      <c r="L906" t="s">
        <v>282</v>
      </c>
      <c r="M906">
        <v>0</v>
      </c>
    </row>
    <row r="907" spans="1:13" x14ac:dyDescent="0.25">
      <c r="A907">
        <v>2011</v>
      </c>
      <c r="B907" t="s">
        <v>259</v>
      </c>
      <c r="C907">
        <v>27123</v>
      </c>
      <c r="D907" t="s">
        <v>275</v>
      </c>
      <c r="E907" t="s">
        <v>261</v>
      </c>
      <c r="F907" t="s">
        <v>268</v>
      </c>
      <c r="G907" t="s">
        <v>263</v>
      </c>
      <c r="H907">
        <v>1990.5227811029499</v>
      </c>
      <c r="I907" t="s">
        <v>264</v>
      </c>
      <c r="J907" t="s">
        <v>265</v>
      </c>
      <c r="K907">
        <v>515856</v>
      </c>
      <c r="L907" t="s">
        <v>282</v>
      </c>
      <c r="M907">
        <v>0</v>
      </c>
    </row>
    <row r="908" spans="1:13" x14ac:dyDescent="0.25">
      <c r="A908">
        <v>2011</v>
      </c>
      <c r="B908" t="s">
        <v>259</v>
      </c>
      <c r="C908">
        <v>27123</v>
      </c>
      <c r="D908" t="s">
        <v>275</v>
      </c>
      <c r="E908" t="s">
        <v>261</v>
      </c>
      <c r="F908" t="s">
        <v>268</v>
      </c>
      <c r="G908" t="s">
        <v>267</v>
      </c>
      <c r="H908">
        <v>19353.049134075402</v>
      </c>
      <c r="I908" t="s">
        <v>264</v>
      </c>
      <c r="J908" t="s">
        <v>265</v>
      </c>
      <c r="K908">
        <v>515856</v>
      </c>
      <c r="L908" t="s">
        <v>282</v>
      </c>
      <c r="M908">
        <v>0.04</v>
      </c>
    </row>
    <row r="909" spans="1:13" x14ac:dyDescent="0.25">
      <c r="A909">
        <v>2011</v>
      </c>
      <c r="B909" t="s">
        <v>259</v>
      </c>
      <c r="C909">
        <v>27123</v>
      </c>
      <c r="D909" t="s">
        <v>275</v>
      </c>
      <c r="E909" t="s">
        <v>261</v>
      </c>
      <c r="F909" t="s">
        <v>268</v>
      </c>
      <c r="G909" t="s">
        <v>269</v>
      </c>
      <c r="H909">
        <v>105.811881579323</v>
      </c>
      <c r="I909" t="s">
        <v>264</v>
      </c>
      <c r="J909" t="s">
        <v>265</v>
      </c>
      <c r="K909">
        <v>515856</v>
      </c>
      <c r="L909" t="s">
        <v>282</v>
      </c>
      <c r="M909">
        <v>0</v>
      </c>
    </row>
    <row r="910" spans="1:13" x14ac:dyDescent="0.25">
      <c r="A910">
        <v>2011</v>
      </c>
      <c r="B910" t="s">
        <v>259</v>
      </c>
      <c r="C910">
        <v>27123</v>
      </c>
      <c r="D910" t="s">
        <v>275</v>
      </c>
      <c r="E910" t="s">
        <v>261</v>
      </c>
      <c r="F910" t="s">
        <v>270</v>
      </c>
      <c r="G910" t="s">
        <v>263</v>
      </c>
      <c r="H910">
        <v>134057.30651913001</v>
      </c>
      <c r="I910" t="s">
        <v>264</v>
      </c>
      <c r="J910" t="s">
        <v>265</v>
      </c>
      <c r="K910">
        <v>515856</v>
      </c>
      <c r="L910" t="s">
        <v>282</v>
      </c>
      <c r="M910">
        <v>0.26</v>
      </c>
    </row>
    <row r="911" spans="1:13" x14ac:dyDescent="0.25">
      <c r="A911">
        <v>2011</v>
      </c>
      <c r="B911" t="s">
        <v>259</v>
      </c>
      <c r="C911">
        <v>27123</v>
      </c>
      <c r="D911" t="s">
        <v>275</v>
      </c>
      <c r="E911" t="s">
        <v>261</v>
      </c>
      <c r="F911" t="s">
        <v>270</v>
      </c>
      <c r="G911" t="s">
        <v>267</v>
      </c>
      <c r="H911">
        <v>438244.99458905199</v>
      </c>
      <c r="I911" t="s">
        <v>264</v>
      </c>
      <c r="J911" t="s">
        <v>265</v>
      </c>
      <c r="K911">
        <v>515856</v>
      </c>
      <c r="L911" t="s">
        <v>282</v>
      </c>
      <c r="M911">
        <v>0.85</v>
      </c>
    </row>
    <row r="912" spans="1:13" x14ac:dyDescent="0.25">
      <c r="A912">
        <v>2011</v>
      </c>
      <c r="B912" t="s">
        <v>259</v>
      </c>
      <c r="C912">
        <v>27123</v>
      </c>
      <c r="D912" t="s">
        <v>275</v>
      </c>
      <c r="E912" t="s">
        <v>261</v>
      </c>
      <c r="F912" t="s">
        <v>270</v>
      </c>
      <c r="G912" t="s">
        <v>269</v>
      </c>
      <c r="H912">
        <v>226.88296286046599</v>
      </c>
      <c r="I912" t="s">
        <v>264</v>
      </c>
      <c r="J912" t="s">
        <v>265</v>
      </c>
      <c r="K912">
        <v>515856</v>
      </c>
      <c r="L912" t="s">
        <v>282</v>
      </c>
      <c r="M912">
        <v>0</v>
      </c>
    </row>
    <row r="913" spans="1:13" x14ac:dyDescent="0.25">
      <c r="A913">
        <v>2011</v>
      </c>
      <c r="B913" t="s">
        <v>259</v>
      </c>
      <c r="C913">
        <v>27139</v>
      </c>
      <c r="D913" t="s">
        <v>276</v>
      </c>
      <c r="E913" t="s">
        <v>261</v>
      </c>
      <c r="F913" t="s">
        <v>262</v>
      </c>
      <c r="G913" t="s">
        <v>263</v>
      </c>
      <c r="H913">
        <v>466137.52474223502</v>
      </c>
      <c r="I913" t="s">
        <v>264</v>
      </c>
      <c r="J913" t="s">
        <v>265</v>
      </c>
      <c r="K913">
        <v>132581</v>
      </c>
      <c r="L913" t="s">
        <v>282</v>
      </c>
      <c r="M913">
        <v>3.52</v>
      </c>
    </row>
    <row r="914" spans="1:13" x14ac:dyDescent="0.25">
      <c r="A914">
        <v>2011</v>
      </c>
      <c r="B914" t="s">
        <v>259</v>
      </c>
      <c r="C914">
        <v>27139</v>
      </c>
      <c r="D914" t="s">
        <v>276</v>
      </c>
      <c r="E914" t="s">
        <v>261</v>
      </c>
      <c r="F914" t="s">
        <v>262</v>
      </c>
      <c r="G914" t="s">
        <v>267</v>
      </c>
      <c r="H914">
        <v>16898.5217339511</v>
      </c>
      <c r="I914" t="s">
        <v>264</v>
      </c>
      <c r="J914" t="s">
        <v>265</v>
      </c>
      <c r="K914">
        <v>132581</v>
      </c>
      <c r="L914" t="s">
        <v>282</v>
      </c>
      <c r="M914">
        <v>0.13</v>
      </c>
    </row>
    <row r="915" spans="1:13" x14ac:dyDescent="0.25">
      <c r="A915">
        <v>2011</v>
      </c>
      <c r="B915" t="s">
        <v>259</v>
      </c>
      <c r="C915">
        <v>27139</v>
      </c>
      <c r="D915" t="s">
        <v>276</v>
      </c>
      <c r="E915" t="s">
        <v>261</v>
      </c>
      <c r="F915" t="s">
        <v>262</v>
      </c>
      <c r="G915" t="s">
        <v>269</v>
      </c>
      <c r="H915">
        <v>633.44401456319304</v>
      </c>
      <c r="I915" t="s">
        <v>264</v>
      </c>
      <c r="J915" t="s">
        <v>265</v>
      </c>
      <c r="K915">
        <v>132581</v>
      </c>
      <c r="L915" t="s">
        <v>282</v>
      </c>
      <c r="M915">
        <v>0</v>
      </c>
    </row>
    <row r="916" spans="1:13" x14ac:dyDescent="0.25">
      <c r="A916">
        <v>2011</v>
      </c>
      <c r="B916" t="s">
        <v>259</v>
      </c>
      <c r="C916">
        <v>27139</v>
      </c>
      <c r="D916" t="s">
        <v>276</v>
      </c>
      <c r="E916" t="s">
        <v>261</v>
      </c>
      <c r="F916" t="s">
        <v>268</v>
      </c>
      <c r="G916" t="s">
        <v>263</v>
      </c>
      <c r="H916">
        <v>613.53913298570103</v>
      </c>
      <c r="I916" t="s">
        <v>264</v>
      </c>
      <c r="J916" t="s">
        <v>265</v>
      </c>
      <c r="K916">
        <v>132581</v>
      </c>
      <c r="L916" t="s">
        <v>282</v>
      </c>
      <c r="M916">
        <v>0</v>
      </c>
    </row>
    <row r="917" spans="1:13" x14ac:dyDescent="0.25">
      <c r="A917">
        <v>2011</v>
      </c>
      <c r="B917" t="s">
        <v>259</v>
      </c>
      <c r="C917">
        <v>27139</v>
      </c>
      <c r="D917" t="s">
        <v>276</v>
      </c>
      <c r="E917" t="s">
        <v>261</v>
      </c>
      <c r="F917" t="s">
        <v>268</v>
      </c>
      <c r="G917" t="s">
        <v>267</v>
      </c>
      <c r="H917">
        <v>5734.7667859909598</v>
      </c>
      <c r="I917" t="s">
        <v>264</v>
      </c>
      <c r="J917" t="s">
        <v>265</v>
      </c>
      <c r="K917">
        <v>132581</v>
      </c>
      <c r="L917" t="s">
        <v>282</v>
      </c>
      <c r="M917">
        <v>0.04</v>
      </c>
    </row>
    <row r="918" spans="1:13" x14ac:dyDescent="0.25">
      <c r="A918">
        <v>2011</v>
      </c>
      <c r="B918" t="s">
        <v>259</v>
      </c>
      <c r="C918">
        <v>27139</v>
      </c>
      <c r="D918" t="s">
        <v>276</v>
      </c>
      <c r="E918" t="s">
        <v>261</v>
      </c>
      <c r="F918" t="s">
        <v>268</v>
      </c>
      <c r="G918" t="s">
        <v>269</v>
      </c>
      <c r="H918">
        <v>70.978880379670599</v>
      </c>
      <c r="I918" t="s">
        <v>264</v>
      </c>
      <c r="J918" t="s">
        <v>265</v>
      </c>
      <c r="K918">
        <v>132581</v>
      </c>
      <c r="L918" t="s">
        <v>282</v>
      </c>
      <c r="M918">
        <v>0</v>
      </c>
    </row>
    <row r="919" spans="1:13" x14ac:dyDescent="0.25">
      <c r="A919">
        <v>2011</v>
      </c>
      <c r="B919" t="s">
        <v>259</v>
      </c>
      <c r="C919">
        <v>27139</v>
      </c>
      <c r="D919" t="s">
        <v>276</v>
      </c>
      <c r="E919" t="s">
        <v>261</v>
      </c>
      <c r="F919" t="s">
        <v>270</v>
      </c>
      <c r="G919" t="s">
        <v>263</v>
      </c>
      <c r="H919">
        <v>27847.7551774606</v>
      </c>
      <c r="I919" t="s">
        <v>264</v>
      </c>
      <c r="J919" t="s">
        <v>265</v>
      </c>
      <c r="K919">
        <v>132581</v>
      </c>
      <c r="L919" t="s">
        <v>282</v>
      </c>
      <c r="M919">
        <v>0.21</v>
      </c>
    </row>
    <row r="920" spans="1:13" x14ac:dyDescent="0.25">
      <c r="A920">
        <v>2011</v>
      </c>
      <c r="B920" t="s">
        <v>259</v>
      </c>
      <c r="C920">
        <v>27139</v>
      </c>
      <c r="D920" t="s">
        <v>276</v>
      </c>
      <c r="E920" t="s">
        <v>261</v>
      </c>
      <c r="F920" t="s">
        <v>270</v>
      </c>
      <c r="G920" t="s">
        <v>267</v>
      </c>
      <c r="H920">
        <v>130628.95977210499</v>
      </c>
      <c r="I920" t="s">
        <v>264</v>
      </c>
      <c r="J920" t="s">
        <v>265</v>
      </c>
      <c r="K920">
        <v>132581</v>
      </c>
      <c r="L920" t="s">
        <v>282</v>
      </c>
      <c r="M920">
        <v>0.99</v>
      </c>
    </row>
    <row r="921" spans="1:13" x14ac:dyDescent="0.25">
      <c r="A921">
        <v>2011</v>
      </c>
      <c r="B921" t="s">
        <v>259</v>
      </c>
      <c r="C921">
        <v>27139</v>
      </c>
      <c r="D921" t="s">
        <v>276</v>
      </c>
      <c r="E921" t="s">
        <v>261</v>
      </c>
      <c r="F921" t="s">
        <v>270</v>
      </c>
      <c r="G921" t="s">
        <v>269</v>
      </c>
      <c r="H921">
        <v>50.618268058647701</v>
      </c>
      <c r="I921" t="s">
        <v>264</v>
      </c>
      <c r="J921" t="s">
        <v>265</v>
      </c>
      <c r="K921">
        <v>132581</v>
      </c>
      <c r="L921" t="s">
        <v>282</v>
      </c>
      <c r="M921">
        <v>0</v>
      </c>
    </row>
    <row r="922" spans="1:13" x14ac:dyDescent="0.25">
      <c r="A922">
        <v>2011</v>
      </c>
      <c r="B922" t="s">
        <v>259</v>
      </c>
      <c r="C922">
        <v>27141</v>
      </c>
      <c r="D922" t="s">
        <v>277</v>
      </c>
      <c r="E922" t="s">
        <v>261</v>
      </c>
      <c r="F922" t="s">
        <v>262</v>
      </c>
      <c r="G922" t="s">
        <v>263</v>
      </c>
      <c r="H922">
        <v>308125.59440917399</v>
      </c>
      <c r="I922" t="s">
        <v>264</v>
      </c>
      <c r="J922" t="s">
        <v>265</v>
      </c>
      <c r="K922">
        <v>89279</v>
      </c>
      <c r="L922" t="s">
        <v>282</v>
      </c>
      <c r="M922">
        <v>3.45</v>
      </c>
    </row>
    <row r="923" spans="1:13" x14ac:dyDescent="0.25">
      <c r="A923">
        <v>2011</v>
      </c>
      <c r="B923" t="s">
        <v>259</v>
      </c>
      <c r="C923">
        <v>27141</v>
      </c>
      <c r="D923" t="s">
        <v>277</v>
      </c>
      <c r="E923" t="s">
        <v>261</v>
      </c>
      <c r="F923" t="s">
        <v>262</v>
      </c>
      <c r="G923" t="s">
        <v>267</v>
      </c>
      <c r="H923">
        <v>16884.3959142434</v>
      </c>
      <c r="I923" t="s">
        <v>264</v>
      </c>
      <c r="J923" t="s">
        <v>265</v>
      </c>
      <c r="K923">
        <v>89279</v>
      </c>
      <c r="L923" t="s">
        <v>282</v>
      </c>
      <c r="M923">
        <v>0.19</v>
      </c>
    </row>
    <row r="924" spans="1:13" x14ac:dyDescent="0.25">
      <c r="A924">
        <v>2011</v>
      </c>
      <c r="B924" t="s">
        <v>259</v>
      </c>
      <c r="C924">
        <v>27141</v>
      </c>
      <c r="D924" t="s">
        <v>277</v>
      </c>
      <c r="E924" t="s">
        <v>261</v>
      </c>
      <c r="F924" t="s">
        <v>262</v>
      </c>
      <c r="G924" t="s">
        <v>269</v>
      </c>
      <c r="H924">
        <v>452.26898605050002</v>
      </c>
      <c r="I924" t="s">
        <v>264</v>
      </c>
      <c r="J924" t="s">
        <v>265</v>
      </c>
      <c r="K924">
        <v>89279</v>
      </c>
      <c r="L924" t="s">
        <v>282</v>
      </c>
      <c r="M924">
        <v>0.01</v>
      </c>
    </row>
    <row r="925" spans="1:13" x14ac:dyDescent="0.25">
      <c r="A925">
        <v>2011</v>
      </c>
      <c r="B925" t="s">
        <v>259</v>
      </c>
      <c r="C925">
        <v>27141</v>
      </c>
      <c r="D925" t="s">
        <v>277</v>
      </c>
      <c r="E925" t="s">
        <v>261</v>
      </c>
      <c r="F925" t="s">
        <v>268</v>
      </c>
      <c r="G925" t="s">
        <v>263</v>
      </c>
      <c r="H925">
        <v>223.488042177468</v>
      </c>
      <c r="I925" t="s">
        <v>264</v>
      </c>
      <c r="J925" t="s">
        <v>265</v>
      </c>
      <c r="K925">
        <v>89279</v>
      </c>
      <c r="L925" t="s">
        <v>282</v>
      </c>
      <c r="M925">
        <v>0</v>
      </c>
    </row>
    <row r="926" spans="1:13" x14ac:dyDescent="0.25">
      <c r="A926">
        <v>2011</v>
      </c>
      <c r="B926" t="s">
        <v>259</v>
      </c>
      <c r="C926">
        <v>27141</v>
      </c>
      <c r="D926" t="s">
        <v>277</v>
      </c>
      <c r="E926" t="s">
        <v>261</v>
      </c>
      <c r="F926" t="s">
        <v>268</v>
      </c>
      <c r="G926" t="s">
        <v>267</v>
      </c>
      <c r="H926">
        <v>3818.2894418580399</v>
      </c>
      <c r="I926" t="s">
        <v>264</v>
      </c>
      <c r="J926" t="s">
        <v>265</v>
      </c>
      <c r="K926">
        <v>89279</v>
      </c>
      <c r="L926" t="s">
        <v>282</v>
      </c>
      <c r="M926">
        <v>0.04</v>
      </c>
    </row>
    <row r="927" spans="1:13" x14ac:dyDescent="0.25">
      <c r="A927">
        <v>2011</v>
      </c>
      <c r="B927" t="s">
        <v>259</v>
      </c>
      <c r="C927">
        <v>27141</v>
      </c>
      <c r="D927" t="s">
        <v>277</v>
      </c>
      <c r="E927" t="s">
        <v>261</v>
      </c>
      <c r="F927" t="s">
        <v>268</v>
      </c>
      <c r="G927" t="s">
        <v>269</v>
      </c>
      <c r="H927">
        <v>59.4879802368716</v>
      </c>
      <c r="I927" t="s">
        <v>264</v>
      </c>
      <c r="J927" t="s">
        <v>265</v>
      </c>
      <c r="K927">
        <v>89279</v>
      </c>
      <c r="L927" t="s">
        <v>282</v>
      </c>
      <c r="M927">
        <v>0</v>
      </c>
    </row>
    <row r="928" spans="1:13" x14ac:dyDescent="0.25">
      <c r="A928">
        <v>2011</v>
      </c>
      <c r="B928" t="s">
        <v>259</v>
      </c>
      <c r="C928">
        <v>27141</v>
      </c>
      <c r="D928" t="s">
        <v>277</v>
      </c>
      <c r="E928" t="s">
        <v>261</v>
      </c>
      <c r="F928" t="s">
        <v>270</v>
      </c>
      <c r="G928" t="s">
        <v>263</v>
      </c>
      <c r="H928">
        <v>16955.789656971599</v>
      </c>
      <c r="I928" t="s">
        <v>264</v>
      </c>
      <c r="J928" t="s">
        <v>265</v>
      </c>
      <c r="K928">
        <v>89279</v>
      </c>
      <c r="L928" t="s">
        <v>282</v>
      </c>
      <c r="M928">
        <v>0.19</v>
      </c>
    </row>
    <row r="929" spans="1:13" x14ac:dyDescent="0.25">
      <c r="A929">
        <v>2011</v>
      </c>
      <c r="B929" t="s">
        <v>259</v>
      </c>
      <c r="C929">
        <v>27141</v>
      </c>
      <c r="D929" t="s">
        <v>277</v>
      </c>
      <c r="E929" t="s">
        <v>261</v>
      </c>
      <c r="F929" t="s">
        <v>270</v>
      </c>
      <c r="G929" t="s">
        <v>267</v>
      </c>
      <c r="H929">
        <v>87709.915271710997</v>
      </c>
      <c r="I929" t="s">
        <v>264</v>
      </c>
      <c r="J929" t="s">
        <v>265</v>
      </c>
      <c r="K929">
        <v>89279</v>
      </c>
      <c r="L929" t="s">
        <v>282</v>
      </c>
      <c r="M929">
        <v>0.98</v>
      </c>
    </row>
    <row r="930" spans="1:13" x14ac:dyDescent="0.25">
      <c r="A930">
        <v>2011</v>
      </c>
      <c r="B930" t="s">
        <v>259</v>
      </c>
      <c r="C930">
        <v>27141</v>
      </c>
      <c r="D930" t="s">
        <v>277</v>
      </c>
      <c r="E930" t="s">
        <v>261</v>
      </c>
      <c r="F930" t="s">
        <v>270</v>
      </c>
      <c r="G930" t="s">
        <v>269</v>
      </c>
      <c r="H930">
        <v>27.360515600967801</v>
      </c>
      <c r="I930" t="s">
        <v>264</v>
      </c>
      <c r="J930" t="s">
        <v>265</v>
      </c>
      <c r="K930">
        <v>89279</v>
      </c>
      <c r="L930" t="s">
        <v>282</v>
      </c>
      <c r="M930">
        <v>0</v>
      </c>
    </row>
    <row r="931" spans="1:13" x14ac:dyDescent="0.25">
      <c r="A931">
        <v>2011</v>
      </c>
      <c r="B931" t="s">
        <v>259</v>
      </c>
      <c r="C931">
        <v>27163</v>
      </c>
      <c r="D931" t="s">
        <v>278</v>
      </c>
      <c r="E931" t="s">
        <v>261</v>
      </c>
      <c r="F931" t="s">
        <v>262</v>
      </c>
      <c r="G931" t="s">
        <v>263</v>
      </c>
      <c r="H931">
        <v>814135.02024098195</v>
      </c>
      <c r="I931" t="s">
        <v>264</v>
      </c>
      <c r="J931" t="s">
        <v>265</v>
      </c>
      <c r="K931">
        <v>241428</v>
      </c>
      <c r="L931" t="s">
        <v>282</v>
      </c>
      <c r="M931">
        <v>3.37</v>
      </c>
    </row>
    <row r="932" spans="1:13" x14ac:dyDescent="0.25">
      <c r="A932">
        <v>2011</v>
      </c>
      <c r="B932" t="s">
        <v>259</v>
      </c>
      <c r="C932">
        <v>27163</v>
      </c>
      <c r="D932" t="s">
        <v>278</v>
      </c>
      <c r="E932" t="s">
        <v>261</v>
      </c>
      <c r="F932" t="s">
        <v>262</v>
      </c>
      <c r="G932" t="s">
        <v>267</v>
      </c>
      <c r="H932">
        <v>25279.832529462099</v>
      </c>
      <c r="I932" t="s">
        <v>264</v>
      </c>
      <c r="J932" t="s">
        <v>265</v>
      </c>
      <c r="K932">
        <v>241428</v>
      </c>
      <c r="L932" t="s">
        <v>282</v>
      </c>
      <c r="M932">
        <v>0.1</v>
      </c>
    </row>
    <row r="933" spans="1:13" x14ac:dyDescent="0.25">
      <c r="A933">
        <v>2011</v>
      </c>
      <c r="B933" t="s">
        <v>259</v>
      </c>
      <c r="C933">
        <v>27163</v>
      </c>
      <c r="D933" t="s">
        <v>278</v>
      </c>
      <c r="E933" t="s">
        <v>261</v>
      </c>
      <c r="F933" t="s">
        <v>262</v>
      </c>
      <c r="G933" t="s">
        <v>269</v>
      </c>
      <c r="H933">
        <v>980.79395958946998</v>
      </c>
      <c r="I933" t="s">
        <v>264</v>
      </c>
      <c r="J933" t="s">
        <v>265</v>
      </c>
      <c r="K933">
        <v>241428</v>
      </c>
      <c r="L933" t="s">
        <v>282</v>
      </c>
      <c r="M933">
        <v>0</v>
      </c>
    </row>
    <row r="934" spans="1:13" x14ac:dyDescent="0.25">
      <c r="A934">
        <v>2011</v>
      </c>
      <c r="B934" t="s">
        <v>259</v>
      </c>
      <c r="C934">
        <v>27163</v>
      </c>
      <c r="D934" t="s">
        <v>278</v>
      </c>
      <c r="E934" t="s">
        <v>261</v>
      </c>
      <c r="F934" t="s">
        <v>268</v>
      </c>
      <c r="G934" t="s">
        <v>263</v>
      </c>
      <c r="H934">
        <v>464.18984773697798</v>
      </c>
      <c r="I934" t="s">
        <v>264</v>
      </c>
      <c r="J934" t="s">
        <v>265</v>
      </c>
      <c r="K934">
        <v>241428</v>
      </c>
      <c r="L934" t="s">
        <v>282</v>
      </c>
      <c r="M934">
        <v>0</v>
      </c>
    </row>
    <row r="935" spans="1:13" x14ac:dyDescent="0.25">
      <c r="A935">
        <v>2011</v>
      </c>
      <c r="B935" t="s">
        <v>259</v>
      </c>
      <c r="C935">
        <v>27163</v>
      </c>
      <c r="D935" t="s">
        <v>278</v>
      </c>
      <c r="E935" t="s">
        <v>261</v>
      </c>
      <c r="F935" t="s">
        <v>268</v>
      </c>
      <c r="G935" t="s">
        <v>267</v>
      </c>
      <c r="H935">
        <v>10670.4581033877</v>
      </c>
      <c r="I935" t="s">
        <v>264</v>
      </c>
      <c r="J935" t="s">
        <v>265</v>
      </c>
      <c r="K935">
        <v>241428</v>
      </c>
      <c r="L935" t="s">
        <v>282</v>
      </c>
      <c r="M935">
        <v>0.04</v>
      </c>
    </row>
    <row r="936" spans="1:13" x14ac:dyDescent="0.25">
      <c r="A936">
        <v>2011</v>
      </c>
      <c r="B936" t="s">
        <v>259</v>
      </c>
      <c r="C936">
        <v>27163</v>
      </c>
      <c r="D936" t="s">
        <v>278</v>
      </c>
      <c r="E936" t="s">
        <v>261</v>
      </c>
      <c r="F936" t="s">
        <v>268</v>
      </c>
      <c r="G936" t="s">
        <v>269</v>
      </c>
      <c r="H936">
        <v>205.10411135928899</v>
      </c>
      <c r="I936" t="s">
        <v>264</v>
      </c>
      <c r="J936" t="s">
        <v>265</v>
      </c>
      <c r="K936">
        <v>241428</v>
      </c>
      <c r="L936" t="s">
        <v>282</v>
      </c>
      <c r="M936">
        <v>0</v>
      </c>
    </row>
    <row r="937" spans="1:13" x14ac:dyDescent="0.25">
      <c r="A937">
        <v>2011</v>
      </c>
      <c r="B937" t="s">
        <v>259</v>
      </c>
      <c r="C937">
        <v>27163</v>
      </c>
      <c r="D937" t="s">
        <v>278</v>
      </c>
      <c r="E937" t="s">
        <v>261</v>
      </c>
      <c r="F937" t="s">
        <v>270</v>
      </c>
      <c r="G937" t="s">
        <v>263</v>
      </c>
      <c r="H937">
        <v>38981.1607225728</v>
      </c>
      <c r="I937" t="s">
        <v>264</v>
      </c>
      <c r="J937" t="s">
        <v>265</v>
      </c>
      <c r="K937">
        <v>241428</v>
      </c>
      <c r="L937" t="s">
        <v>282</v>
      </c>
      <c r="M937">
        <v>0.16</v>
      </c>
    </row>
    <row r="938" spans="1:13" x14ac:dyDescent="0.25">
      <c r="A938">
        <v>2011</v>
      </c>
      <c r="B938" t="s">
        <v>259</v>
      </c>
      <c r="C938">
        <v>27163</v>
      </c>
      <c r="D938" t="s">
        <v>278</v>
      </c>
      <c r="E938" t="s">
        <v>261</v>
      </c>
      <c r="F938" t="s">
        <v>270</v>
      </c>
      <c r="G938" t="s">
        <v>267</v>
      </c>
      <c r="H938">
        <v>231141.18329629299</v>
      </c>
      <c r="I938" t="s">
        <v>264</v>
      </c>
      <c r="J938" t="s">
        <v>265</v>
      </c>
      <c r="K938">
        <v>241428</v>
      </c>
      <c r="L938" t="s">
        <v>282</v>
      </c>
      <c r="M938">
        <v>0.96</v>
      </c>
    </row>
    <row r="939" spans="1:13" x14ac:dyDescent="0.25">
      <c r="A939">
        <v>2011</v>
      </c>
      <c r="B939" t="s">
        <v>259</v>
      </c>
      <c r="C939">
        <v>27163</v>
      </c>
      <c r="D939" t="s">
        <v>278</v>
      </c>
      <c r="E939" t="s">
        <v>261</v>
      </c>
      <c r="F939" t="s">
        <v>270</v>
      </c>
      <c r="G939" t="s">
        <v>269</v>
      </c>
      <c r="H939">
        <v>65.517805396314202</v>
      </c>
      <c r="I939" t="s">
        <v>264</v>
      </c>
      <c r="J939" t="s">
        <v>265</v>
      </c>
      <c r="K939">
        <v>241428</v>
      </c>
      <c r="L939" t="s">
        <v>282</v>
      </c>
      <c r="M939">
        <v>0</v>
      </c>
    </row>
    <row r="940" spans="1:13" x14ac:dyDescent="0.25">
      <c r="A940">
        <v>2011</v>
      </c>
      <c r="B940" t="s">
        <v>259</v>
      </c>
      <c r="C940">
        <v>55093</v>
      </c>
      <c r="D940" t="s">
        <v>279</v>
      </c>
      <c r="E940" t="s">
        <v>261</v>
      </c>
      <c r="F940" t="s">
        <v>262</v>
      </c>
      <c r="G940" t="s">
        <v>263</v>
      </c>
      <c r="H940">
        <v>122448.132171372</v>
      </c>
      <c r="I940" t="s">
        <v>264</v>
      </c>
      <c r="J940" t="s">
        <v>265</v>
      </c>
      <c r="K940">
        <v>40906</v>
      </c>
      <c r="L940" t="s">
        <v>282</v>
      </c>
      <c r="M940">
        <v>2.99</v>
      </c>
    </row>
    <row r="941" spans="1:13" x14ac:dyDescent="0.25">
      <c r="A941">
        <v>2011</v>
      </c>
      <c r="B941" t="s">
        <v>259</v>
      </c>
      <c r="C941">
        <v>55093</v>
      </c>
      <c r="D941" t="s">
        <v>279</v>
      </c>
      <c r="E941" t="s">
        <v>261</v>
      </c>
      <c r="F941" t="s">
        <v>262</v>
      </c>
      <c r="G941" t="s">
        <v>267</v>
      </c>
      <c r="H941">
        <v>7292.0732695423103</v>
      </c>
      <c r="I941" t="s">
        <v>264</v>
      </c>
      <c r="J941" t="s">
        <v>265</v>
      </c>
      <c r="K941">
        <v>40906</v>
      </c>
      <c r="L941" t="s">
        <v>282</v>
      </c>
      <c r="M941">
        <v>0.18</v>
      </c>
    </row>
    <row r="942" spans="1:13" x14ac:dyDescent="0.25">
      <c r="A942">
        <v>2011</v>
      </c>
      <c r="B942" t="s">
        <v>259</v>
      </c>
      <c r="C942">
        <v>55093</v>
      </c>
      <c r="D942" t="s">
        <v>279</v>
      </c>
      <c r="E942" t="s">
        <v>261</v>
      </c>
      <c r="F942" t="s">
        <v>262</v>
      </c>
      <c r="G942" t="s">
        <v>269</v>
      </c>
      <c r="H942">
        <v>165.656462528611</v>
      </c>
      <c r="I942" t="s">
        <v>264</v>
      </c>
      <c r="J942" t="s">
        <v>265</v>
      </c>
      <c r="K942">
        <v>40906</v>
      </c>
      <c r="L942" t="s">
        <v>282</v>
      </c>
      <c r="M942">
        <v>0</v>
      </c>
    </row>
    <row r="943" spans="1:13" x14ac:dyDescent="0.25">
      <c r="A943">
        <v>2011</v>
      </c>
      <c r="B943" t="s">
        <v>259</v>
      </c>
      <c r="C943">
        <v>55093</v>
      </c>
      <c r="D943" t="s">
        <v>279</v>
      </c>
      <c r="E943" t="s">
        <v>261</v>
      </c>
      <c r="F943" t="s">
        <v>268</v>
      </c>
      <c r="G943" t="s">
        <v>263</v>
      </c>
      <c r="H943">
        <v>130.46995576645699</v>
      </c>
      <c r="I943" t="s">
        <v>264</v>
      </c>
      <c r="J943" t="s">
        <v>265</v>
      </c>
      <c r="K943">
        <v>40906</v>
      </c>
      <c r="L943" t="s">
        <v>282</v>
      </c>
      <c r="M943">
        <v>0</v>
      </c>
    </row>
    <row r="944" spans="1:13" x14ac:dyDescent="0.25">
      <c r="A944">
        <v>2011</v>
      </c>
      <c r="B944" t="s">
        <v>259</v>
      </c>
      <c r="C944">
        <v>55093</v>
      </c>
      <c r="D944" t="s">
        <v>279</v>
      </c>
      <c r="E944" t="s">
        <v>261</v>
      </c>
      <c r="F944" t="s">
        <v>268</v>
      </c>
      <c r="G944" t="s">
        <v>267</v>
      </c>
      <c r="H944">
        <v>2069.1194083127798</v>
      </c>
      <c r="I944" t="s">
        <v>264</v>
      </c>
      <c r="J944" t="s">
        <v>265</v>
      </c>
      <c r="K944">
        <v>40906</v>
      </c>
      <c r="L944" t="s">
        <v>282</v>
      </c>
      <c r="M944">
        <v>0.05</v>
      </c>
    </row>
    <row r="945" spans="1:13" x14ac:dyDescent="0.25">
      <c r="A945">
        <v>2011</v>
      </c>
      <c r="B945" t="s">
        <v>259</v>
      </c>
      <c r="C945">
        <v>55093</v>
      </c>
      <c r="D945" t="s">
        <v>279</v>
      </c>
      <c r="E945" t="s">
        <v>261</v>
      </c>
      <c r="F945" t="s">
        <v>268</v>
      </c>
      <c r="G945" t="s">
        <v>269</v>
      </c>
      <c r="H945">
        <v>50.699860512983101</v>
      </c>
      <c r="I945" t="s">
        <v>264</v>
      </c>
      <c r="J945" t="s">
        <v>265</v>
      </c>
      <c r="K945">
        <v>40906</v>
      </c>
      <c r="L945" t="s">
        <v>282</v>
      </c>
      <c r="M945">
        <v>0</v>
      </c>
    </row>
    <row r="946" spans="1:13" x14ac:dyDescent="0.25">
      <c r="A946">
        <v>2011</v>
      </c>
      <c r="B946" t="s">
        <v>259</v>
      </c>
      <c r="C946">
        <v>55093</v>
      </c>
      <c r="D946" t="s">
        <v>279</v>
      </c>
      <c r="E946" t="s">
        <v>261</v>
      </c>
      <c r="F946" t="s">
        <v>270</v>
      </c>
      <c r="G946" t="s">
        <v>263</v>
      </c>
      <c r="H946">
        <v>6757.4032058198</v>
      </c>
      <c r="I946" t="s">
        <v>264</v>
      </c>
      <c r="J946" t="s">
        <v>265</v>
      </c>
      <c r="K946">
        <v>40906</v>
      </c>
      <c r="L946" t="s">
        <v>282</v>
      </c>
      <c r="M946">
        <v>0.17</v>
      </c>
    </row>
    <row r="947" spans="1:13" x14ac:dyDescent="0.25">
      <c r="A947">
        <v>2011</v>
      </c>
      <c r="B947" t="s">
        <v>259</v>
      </c>
      <c r="C947">
        <v>55093</v>
      </c>
      <c r="D947" t="s">
        <v>279</v>
      </c>
      <c r="E947" t="s">
        <v>261</v>
      </c>
      <c r="F947" t="s">
        <v>270</v>
      </c>
      <c r="G947" t="s">
        <v>267</v>
      </c>
      <c r="H947">
        <v>20388.370469312798</v>
      </c>
      <c r="I947" t="s">
        <v>264</v>
      </c>
      <c r="J947" t="s">
        <v>265</v>
      </c>
      <c r="K947">
        <v>40906</v>
      </c>
      <c r="L947" t="s">
        <v>282</v>
      </c>
      <c r="M947">
        <v>0.5</v>
      </c>
    </row>
    <row r="948" spans="1:13" x14ac:dyDescent="0.25">
      <c r="A948">
        <v>2011</v>
      </c>
      <c r="B948" t="s">
        <v>259</v>
      </c>
      <c r="C948">
        <v>55093</v>
      </c>
      <c r="D948" t="s">
        <v>279</v>
      </c>
      <c r="E948" t="s">
        <v>261</v>
      </c>
      <c r="F948" t="s">
        <v>270</v>
      </c>
      <c r="G948" t="s">
        <v>269</v>
      </c>
      <c r="H948">
        <v>11.271967470623499</v>
      </c>
      <c r="I948" t="s">
        <v>264</v>
      </c>
      <c r="J948" t="s">
        <v>265</v>
      </c>
      <c r="K948">
        <v>40906</v>
      </c>
      <c r="L948" t="s">
        <v>282</v>
      </c>
      <c r="M948">
        <v>0</v>
      </c>
    </row>
    <row r="949" spans="1:13" x14ac:dyDescent="0.25">
      <c r="A949">
        <v>2011</v>
      </c>
      <c r="B949" t="s">
        <v>259</v>
      </c>
      <c r="C949">
        <v>55109</v>
      </c>
      <c r="D949" t="s">
        <v>280</v>
      </c>
      <c r="E949" t="s">
        <v>261</v>
      </c>
      <c r="F949" t="s">
        <v>262</v>
      </c>
      <c r="G949" t="s">
        <v>263</v>
      </c>
      <c r="H949">
        <v>405615.53558727202</v>
      </c>
      <c r="I949" t="s">
        <v>264</v>
      </c>
      <c r="J949" t="s">
        <v>265</v>
      </c>
      <c r="K949">
        <v>84836</v>
      </c>
      <c r="L949" t="s">
        <v>282</v>
      </c>
      <c r="M949">
        <v>4.78</v>
      </c>
    </row>
    <row r="950" spans="1:13" x14ac:dyDescent="0.25">
      <c r="A950">
        <v>2011</v>
      </c>
      <c r="B950" t="s">
        <v>259</v>
      </c>
      <c r="C950">
        <v>55109</v>
      </c>
      <c r="D950" t="s">
        <v>280</v>
      </c>
      <c r="E950" t="s">
        <v>261</v>
      </c>
      <c r="F950" t="s">
        <v>262</v>
      </c>
      <c r="G950" t="s">
        <v>267</v>
      </c>
      <c r="H950">
        <v>24025.693603827898</v>
      </c>
      <c r="I950" t="s">
        <v>264</v>
      </c>
      <c r="J950" t="s">
        <v>265</v>
      </c>
      <c r="K950">
        <v>84836</v>
      </c>
      <c r="L950" t="s">
        <v>282</v>
      </c>
      <c r="M950">
        <v>0.28000000000000003</v>
      </c>
    </row>
    <row r="951" spans="1:13" x14ac:dyDescent="0.25">
      <c r="A951">
        <v>2011</v>
      </c>
      <c r="B951" t="s">
        <v>259</v>
      </c>
      <c r="C951">
        <v>55109</v>
      </c>
      <c r="D951" t="s">
        <v>280</v>
      </c>
      <c r="E951" t="s">
        <v>261</v>
      </c>
      <c r="F951" t="s">
        <v>262</v>
      </c>
      <c r="G951" t="s">
        <v>269</v>
      </c>
      <c r="H951">
        <v>503.11752522960501</v>
      </c>
      <c r="I951" t="s">
        <v>264</v>
      </c>
      <c r="J951" t="s">
        <v>265</v>
      </c>
      <c r="K951">
        <v>84836</v>
      </c>
      <c r="L951" t="s">
        <v>282</v>
      </c>
      <c r="M951">
        <v>0.01</v>
      </c>
    </row>
    <row r="952" spans="1:13" x14ac:dyDescent="0.25">
      <c r="A952">
        <v>2011</v>
      </c>
      <c r="B952" t="s">
        <v>259</v>
      </c>
      <c r="C952">
        <v>55109</v>
      </c>
      <c r="D952" t="s">
        <v>280</v>
      </c>
      <c r="E952" t="s">
        <v>261</v>
      </c>
      <c r="F952" t="s">
        <v>268</v>
      </c>
      <c r="G952" t="s">
        <v>263</v>
      </c>
      <c r="H952">
        <v>307.75598646530602</v>
      </c>
      <c r="I952" t="s">
        <v>264</v>
      </c>
      <c r="J952" t="s">
        <v>265</v>
      </c>
      <c r="K952">
        <v>84836</v>
      </c>
      <c r="L952" t="s">
        <v>282</v>
      </c>
      <c r="M952">
        <v>0</v>
      </c>
    </row>
    <row r="953" spans="1:13" x14ac:dyDescent="0.25">
      <c r="A953">
        <v>2011</v>
      </c>
      <c r="B953" t="s">
        <v>259</v>
      </c>
      <c r="C953">
        <v>55109</v>
      </c>
      <c r="D953" t="s">
        <v>280</v>
      </c>
      <c r="E953" t="s">
        <v>261</v>
      </c>
      <c r="F953" t="s">
        <v>268</v>
      </c>
      <c r="G953" t="s">
        <v>267</v>
      </c>
      <c r="H953">
        <v>6544.7594446245002</v>
      </c>
      <c r="I953" t="s">
        <v>264</v>
      </c>
      <c r="J953" t="s">
        <v>265</v>
      </c>
      <c r="K953">
        <v>84836</v>
      </c>
      <c r="L953" t="s">
        <v>282</v>
      </c>
      <c r="M953">
        <v>0.08</v>
      </c>
    </row>
    <row r="954" spans="1:13" x14ac:dyDescent="0.25">
      <c r="A954">
        <v>2011</v>
      </c>
      <c r="B954" t="s">
        <v>259</v>
      </c>
      <c r="C954">
        <v>55109</v>
      </c>
      <c r="D954" t="s">
        <v>280</v>
      </c>
      <c r="E954" t="s">
        <v>261</v>
      </c>
      <c r="F954" t="s">
        <v>268</v>
      </c>
      <c r="G954" t="s">
        <v>269</v>
      </c>
      <c r="H954">
        <v>100.623853424914</v>
      </c>
      <c r="I954" t="s">
        <v>264</v>
      </c>
      <c r="J954" t="s">
        <v>265</v>
      </c>
      <c r="K954">
        <v>84836</v>
      </c>
      <c r="L954" t="s">
        <v>282</v>
      </c>
      <c r="M954">
        <v>0</v>
      </c>
    </row>
    <row r="955" spans="1:13" x14ac:dyDescent="0.25">
      <c r="A955">
        <v>2011</v>
      </c>
      <c r="B955" t="s">
        <v>259</v>
      </c>
      <c r="C955">
        <v>55109</v>
      </c>
      <c r="D955" t="s">
        <v>280</v>
      </c>
      <c r="E955" t="s">
        <v>261</v>
      </c>
      <c r="F955" t="s">
        <v>270</v>
      </c>
      <c r="G955" t="s">
        <v>263</v>
      </c>
      <c r="H955">
        <v>23985.5488520982</v>
      </c>
      <c r="I955" t="s">
        <v>264</v>
      </c>
      <c r="J955" t="s">
        <v>265</v>
      </c>
      <c r="K955">
        <v>84836</v>
      </c>
      <c r="L955" t="s">
        <v>282</v>
      </c>
      <c r="M955">
        <v>0.28000000000000003</v>
      </c>
    </row>
    <row r="956" spans="1:13" x14ac:dyDescent="0.25">
      <c r="A956">
        <v>2011</v>
      </c>
      <c r="B956" t="s">
        <v>259</v>
      </c>
      <c r="C956">
        <v>55109</v>
      </c>
      <c r="D956" t="s">
        <v>280</v>
      </c>
      <c r="E956" t="s">
        <v>261</v>
      </c>
      <c r="F956" t="s">
        <v>270</v>
      </c>
      <c r="G956" t="s">
        <v>267</v>
      </c>
      <c r="H956">
        <v>141540.738571494</v>
      </c>
      <c r="I956" t="s">
        <v>264</v>
      </c>
      <c r="J956" t="s">
        <v>265</v>
      </c>
      <c r="K956">
        <v>84836</v>
      </c>
      <c r="L956" t="s">
        <v>282</v>
      </c>
      <c r="M956">
        <v>1.67</v>
      </c>
    </row>
    <row r="957" spans="1:13" x14ac:dyDescent="0.25">
      <c r="A957">
        <v>2011</v>
      </c>
      <c r="B957" t="s">
        <v>259</v>
      </c>
      <c r="C957">
        <v>55109</v>
      </c>
      <c r="D957" t="s">
        <v>280</v>
      </c>
      <c r="E957" t="s">
        <v>261</v>
      </c>
      <c r="F957" t="s">
        <v>270</v>
      </c>
      <c r="G957" t="s">
        <v>269</v>
      </c>
      <c r="H957">
        <v>37.225997399989197</v>
      </c>
      <c r="I957" t="s">
        <v>264</v>
      </c>
      <c r="J957" t="s">
        <v>265</v>
      </c>
      <c r="K957">
        <v>84836</v>
      </c>
      <c r="L957" t="s">
        <v>282</v>
      </c>
      <c r="M957">
        <v>0</v>
      </c>
    </row>
    <row r="958" spans="1:13" x14ac:dyDescent="0.25">
      <c r="A958">
        <v>2012</v>
      </c>
      <c r="B958" t="s">
        <v>259</v>
      </c>
      <c r="C958">
        <v>27003</v>
      </c>
      <c r="D958" t="s">
        <v>260</v>
      </c>
      <c r="E958" t="s">
        <v>261</v>
      </c>
      <c r="F958" t="s">
        <v>262</v>
      </c>
      <c r="G958" t="s">
        <v>263</v>
      </c>
      <c r="H958">
        <v>1084770.08485244</v>
      </c>
      <c r="I958" t="s">
        <v>264</v>
      </c>
      <c r="J958" t="s">
        <v>265</v>
      </c>
      <c r="K958">
        <v>336119</v>
      </c>
      <c r="L958" t="s">
        <v>282</v>
      </c>
      <c r="M958">
        <v>3.23</v>
      </c>
    </row>
    <row r="959" spans="1:13" x14ac:dyDescent="0.25">
      <c r="A959">
        <v>2012</v>
      </c>
      <c r="B959" t="s">
        <v>259</v>
      </c>
      <c r="C959">
        <v>27003</v>
      </c>
      <c r="D959" t="s">
        <v>260</v>
      </c>
      <c r="E959" t="s">
        <v>261</v>
      </c>
      <c r="F959" t="s">
        <v>262</v>
      </c>
      <c r="G959" t="s">
        <v>267</v>
      </c>
      <c r="H959">
        <v>33381.3366023544</v>
      </c>
      <c r="I959" t="s">
        <v>264</v>
      </c>
      <c r="J959" t="s">
        <v>265</v>
      </c>
      <c r="K959">
        <v>336119</v>
      </c>
      <c r="L959" t="s">
        <v>282</v>
      </c>
      <c r="M959">
        <v>0.1</v>
      </c>
    </row>
    <row r="960" spans="1:13" x14ac:dyDescent="0.25">
      <c r="A960">
        <v>2012</v>
      </c>
      <c r="B960" t="s">
        <v>259</v>
      </c>
      <c r="C960">
        <v>27003</v>
      </c>
      <c r="D960" t="s">
        <v>260</v>
      </c>
      <c r="E960" t="s">
        <v>261</v>
      </c>
      <c r="F960" t="s">
        <v>262</v>
      </c>
      <c r="G960" t="s">
        <v>269</v>
      </c>
      <c r="H960">
        <v>1521.71718871599</v>
      </c>
      <c r="I960" t="s">
        <v>264</v>
      </c>
      <c r="J960" t="s">
        <v>265</v>
      </c>
      <c r="K960">
        <v>336119</v>
      </c>
      <c r="L960" t="s">
        <v>282</v>
      </c>
      <c r="M960">
        <v>0</v>
      </c>
    </row>
    <row r="961" spans="1:13" x14ac:dyDescent="0.25">
      <c r="A961">
        <v>2012</v>
      </c>
      <c r="B961" t="s">
        <v>259</v>
      </c>
      <c r="C961">
        <v>27003</v>
      </c>
      <c r="D961" t="s">
        <v>260</v>
      </c>
      <c r="E961" t="s">
        <v>261</v>
      </c>
      <c r="F961" t="s">
        <v>268</v>
      </c>
      <c r="G961" t="s">
        <v>263</v>
      </c>
      <c r="H961">
        <v>662.00073615650797</v>
      </c>
      <c r="I961" t="s">
        <v>264</v>
      </c>
      <c r="J961" t="s">
        <v>265</v>
      </c>
      <c r="K961">
        <v>336119</v>
      </c>
      <c r="L961" t="s">
        <v>282</v>
      </c>
      <c r="M961">
        <v>0</v>
      </c>
    </row>
    <row r="962" spans="1:13" x14ac:dyDescent="0.25">
      <c r="A962">
        <v>2012</v>
      </c>
      <c r="B962" t="s">
        <v>259</v>
      </c>
      <c r="C962">
        <v>27003</v>
      </c>
      <c r="D962" t="s">
        <v>260</v>
      </c>
      <c r="E962" t="s">
        <v>261</v>
      </c>
      <c r="F962" t="s">
        <v>268</v>
      </c>
      <c r="G962" t="s">
        <v>267</v>
      </c>
      <c r="H962">
        <v>15040.5618319347</v>
      </c>
      <c r="I962" t="s">
        <v>264</v>
      </c>
      <c r="J962" t="s">
        <v>265</v>
      </c>
      <c r="K962">
        <v>336119</v>
      </c>
      <c r="L962" t="s">
        <v>282</v>
      </c>
      <c r="M962">
        <v>0.04</v>
      </c>
    </row>
    <row r="963" spans="1:13" x14ac:dyDescent="0.25">
      <c r="A963">
        <v>2012</v>
      </c>
      <c r="B963" t="s">
        <v>259</v>
      </c>
      <c r="C963">
        <v>27003</v>
      </c>
      <c r="D963" t="s">
        <v>260</v>
      </c>
      <c r="E963" t="s">
        <v>261</v>
      </c>
      <c r="F963" t="s">
        <v>268</v>
      </c>
      <c r="G963" t="s">
        <v>269</v>
      </c>
      <c r="H963">
        <v>10.2700141148842</v>
      </c>
      <c r="I963" t="s">
        <v>264</v>
      </c>
      <c r="J963" t="s">
        <v>265</v>
      </c>
      <c r="K963">
        <v>336119</v>
      </c>
      <c r="L963" t="s">
        <v>282</v>
      </c>
      <c r="M963">
        <v>0</v>
      </c>
    </row>
    <row r="964" spans="1:13" x14ac:dyDescent="0.25">
      <c r="A964">
        <v>2012</v>
      </c>
      <c r="B964" t="s">
        <v>259</v>
      </c>
      <c r="C964">
        <v>27003</v>
      </c>
      <c r="D964" t="s">
        <v>260</v>
      </c>
      <c r="E964" t="s">
        <v>261</v>
      </c>
      <c r="F964" t="s">
        <v>270</v>
      </c>
      <c r="G964" t="s">
        <v>263</v>
      </c>
      <c r="H964">
        <v>88228.385164781706</v>
      </c>
      <c r="I964" t="s">
        <v>264</v>
      </c>
      <c r="J964" t="s">
        <v>265</v>
      </c>
      <c r="K964">
        <v>336119</v>
      </c>
      <c r="L964" t="s">
        <v>282</v>
      </c>
      <c r="M964">
        <v>0.26</v>
      </c>
    </row>
    <row r="965" spans="1:13" x14ac:dyDescent="0.25">
      <c r="A965">
        <v>2012</v>
      </c>
      <c r="B965" t="s">
        <v>259</v>
      </c>
      <c r="C965">
        <v>27003</v>
      </c>
      <c r="D965" t="s">
        <v>260</v>
      </c>
      <c r="E965" t="s">
        <v>261</v>
      </c>
      <c r="F965" t="s">
        <v>270</v>
      </c>
      <c r="G965" t="s">
        <v>267</v>
      </c>
      <c r="H965">
        <v>299154.35988525202</v>
      </c>
      <c r="I965" t="s">
        <v>264</v>
      </c>
      <c r="J965" t="s">
        <v>265</v>
      </c>
      <c r="K965">
        <v>336119</v>
      </c>
      <c r="L965" t="s">
        <v>282</v>
      </c>
      <c r="M965">
        <v>0.89</v>
      </c>
    </row>
    <row r="966" spans="1:13" x14ac:dyDescent="0.25">
      <c r="A966">
        <v>2012</v>
      </c>
      <c r="B966" t="s">
        <v>259</v>
      </c>
      <c r="C966">
        <v>27003</v>
      </c>
      <c r="D966" t="s">
        <v>260</v>
      </c>
      <c r="E966" t="s">
        <v>261</v>
      </c>
      <c r="F966" t="s">
        <v>270</v>
      </c>
      <c r="G966" t="s">
        <v>269</v>
      </c>
      <c r="H966">
        <v>143.104579064208</v>
      </c>
      <c r="I966" t="s">
        <v>264</v>
      </c>
      <c r="J966" t="s">
        <v>265</v>
      </c>
      <c r="K966">
        <v>336119</v>
      </c>
      <c r="L966" t="s">
        <v>282</v>
      </c>
      <c r="M966">
        <v>0</v>
      </c>
    </row>
    <row r="967" spans="1:13" x14ac:dyDescent="0.25">
      <c r="A967">
        <v>2012</v>
      </c>
      <c r="B967" t="s">
        <v>259</v>
      </c>
      <c r="C967">
        <v>27019</v>
      </c>
      <c r="D967" t="s">
        <v>271</v>
      </c>
      <c r="E967" t="s">
        <v>261</v>
      </c>
      <c r="F967" t="s">
        <v>262</v>
      </c>
      <c r="G967" t="s">
        <v>263</v>
      </c>
      <c r="H967">
        <v>329107.63458474999</v>
      </c>
      <c r="I967" t="s">
        <v>264</v>
      </c>
      <c r="J967" t="s">
        <v>265</v>
      </c>
      <c r="K967">
        <v>93804</v>
      </c>
      <c r="L967" t="s">
        <v>282</v>
      </c>
      <c r="M967">
        <v>3.51</v>
      </c>
    </row>
    <row r="968" spans="1:13" x14ac:dyDescent="0.25">
      <c r="A968">
        <v>2012</v>
      </c>
      <c r="B968" t="s">
        <v>259</v>
      </c>
      <c r="C968">
        <v>27019</v>
      </c>
      <c r="D968" t="s">
        <v>271</v>
      </c>
      <c r="E968" t="s">
        <v>261</v>
      </c>
      <c r="F968" t="s">
        <v>262</v>
      </c>
      <c r="G968" t="s">
        <v>267</v>
      </c>
      <c r="H968">
        <v>12545.626827968799</v>
      </c>
      <c r="I968" t="s">
        <v>264</v>
      </c>
      <c r="J968" t="s">
        <v>265</v>
      </c>
      <c r="K968">
        <v>93804</v>
      </c>
      <c r="L968" t="s">
        <v>282</v>
      </c>
      <c r="M968">
        <v>0.13</v>
      </c>
    </row>
    <row r="969" spans="1:13" x14ac:dyDescent="0.25">
      <c r="A969">
        <v>2012</v>
      </c>
      <c r="B969" t="s">
        <v>259</v>
      </c>
      <c r="C969">
        <v>27019</v>
      </c>
      <c r="D969" t="s">
        <v>271</v>
      </c>
      <c r="E969" t="s">
        <v>261</v>
      </c>
      <c r="F969" t="s">
        <v>262</v>
      </c>
      <c r="G969" t="s">
        <v>269</v>
      </c>
      <c r="H969">
        <v>503.64081152282699</v>
      </c>
      <c r="I969" t="s">
        <v>264</v>
      </c>
      <c r="J969" t="s">
        <v>265</v>
      </c>
      <c r="K969">
        <v>93804</v>
      </c>
      <c r="L969" t="s">
        <v>282</v>
      </c>
      <c r="M969">
        <v>0.01</v>
      </c>
    </row>
    <row r="970" spans="1:13" x14ac:dyDescent="0.25">
      <c r="A970">
        <v>2012</v>
      </c>
      <c r="B970" t="s">
        <v>259</v>
      </c>
      <c r="C970">
        <v>27019</v>
      </c>
      <c r="D970" t="s">
        <v>271</v>
      </c>
      <c r="E970" t="s">
        <v>261</v>
      </c>
      <c r="F970" t="s">
        <v>268</v>
      </c>
      <c r="G970" t="s">
        <v>263</v>
      </c>
      <c r="H970">
        <v>365.03324815107601</v>
      </c>
      <c r="I970" t="s">
        <v>264</v>
      </c>
      <c r="J970" t="s">
        <v>265</v>
      </c>
      <c r="K970">
        <v>93804</v>
      </c>
      <c r="L970" t="s">
        <v>282</v>
      </c>
      <c r="M970">
        <v>0</v>
      </c>
    </row>
    <row r="971" spans="1:13" x14ac:dyDescent="0.25">
      <c r="A971">
        <v>2012</v>
      </c>
      <c r="B971" t="s">
        <v>259</v>
      </c>
      <c r="C971">
        <v>27019</v>
      </c>
      <c r="D971" t="s">
        <v>271</v>
      </c>
      <c r="E971" t="s">
        <v>261</v>
      </c>
      <c r="F971" t="s">
        <v>268</v>
      </c>
      <c r="G971" t="s">
        <v>267</v>
      </c>
      <c r="H971">
        <v>4171.1831396266498</v>
      </c>
      <c r="I971" t="s">
        <v>264</v>
      </c>
      <c r="J971" t="s">
        <v>265</v>
      </c>
      <c r="K971">
        <v>93804</v>
      </c>
      <c r="L971" t="s">
        <v>282</v>
      </c>
      <c r="M971">
        <v>0.04</v>
      </c>
    </row>
    <row r="972" spans="1:13" x14ac:dyDescent="0.25">
      <c r="A972">
        <v>2012</v>
      </c>
      <c r="B972" t="s">
        <v>259</v>
      </c>
      <c r="C972">
        <v>27019</v>
      </c>
      <c r="D972" t="s">
        <v>271</v>
      </c>
      <c r="E972" t="s">
        <v>261</v>
      </c>
      <c r="F972" t="s">
        <v>268</v>
      </c>
      <c r="G972" t="s">
        <v>269</v>
      </c>
      <c r="H972">
        <v>154.70862599883799</v>
      </c>
      <c r="I972" t="s">
        <v>264</v>
      </c>
      <c r="J972" t="s">
        <v>265</v>
      </c>
      <c r="K972">
        <v>93804</v>
      </c>
      <c r="L972" t="s">
        <v>282</v>
      </c>
      <c r="M972">
        <v>0</v>
      </c>
    </row>
    <row r="973" spans="1:13" x14ac:dyDescent="0.25">
      <c r="A973">
        <v>2012</v>
      </c>
      <c r="B973" t="s">
        <v>259</v>
      </c>
      <c r="C973">
        <v>27019</v>
      </c>
      <c r="D973" t="s">
        <v>271</v>
      </c>
      <c r="E973" t="s">
        <v>261</v>
      </c>
      <c r="F973" t="s">
        <v>270</v>
      </c>
      <c r="G973" t="s">
        <v>263</v>
      </c>
      <c r="H973">
        <v>18301.091506908801</v>
      </c>
      <c r="I973" t="s">
        <v>264</v>
      </c>
      <c r="J973" t="s">
        <v>265</v>
      </c>
      <c r="K973">
        <v>93804</v>
      </c>
      <c r="L973" t="s">
        <v>282</v>
      </c>
      <c r="M973">
        <v>0.2</v>
      </c>
    </row>
    <row r="974" spans="1:13" x14ac:dyDescent="0.25">
      <c r="A974">
        <v>2012</v>
      </c>
      <c r="B974" t="s">
        <v>259</v>
      </c>
      <c r="C974">
        <v>27019</v>
      </c>
      <c r="D974" t="s">
        <v>271</v>
      </c>
      <c r="E974" t="s">
        <v>261</v>
      </c>
      <c r="F974" t="s">
        <v>270</v>
      </c>
      <c r="G974" t="s">
        <v>267</v>
      </c>
      <c r="H974">
        <v>89560.037266965199</v>
      </c>
      <c r="I974" t="s">
        <v>264</v>
      </c>
      <c r="J974" t="s">
        <v>265</v>
      </c>
      <c r="K974">
        <v>93804</v>
      </c>
      <c r="L974" t="s">
        <v>282</v>
      </c>
      <c r="M974">
        <v>0.95</v>
      </c>
    </row>
    <row r="975" spans="1:13" x14ac:dyDescent="0.25">
      <c r="A975">
        <v>2012</v>
      </c>
      <c r="B975" t="s">
        <v>259</v>
      </c>
      <c r="C975">
        <v>27019</v>
      </c>
      <c r="D975" t="s">
        <v>271</v>
      </c>
      <c r="E975" t="s">
        <v>261</v>
      </c>
      <c r="F975" t="s">
        <v>270</v>
      </c>
      <c r="G975" t="s">
        <v>269</v>
      </c>
      <c r="H975">
        <v>42.943069824434602</v>
      </c>
      <c r="I975" t="s">
        <v>264</v>
      </c>
      <c r="J975" t="s">
        <v>265</v>
      </c>
      <c r="K975">
        <v>93804</v>
      </c>
      <c r="L975" t="s">
        <v>282</v>
      </c>
      <c r="M975">
        <v>0</v>
      </c>
    </row>
    <row r="976" spans="1:13" x14ac:dyDescent="0.25">
      <c r="A976">
        <v>2012</v>
      </c>
      <c r="B976" t="s">
        <v>259</v>
      </c>
      <c r="C976">
        <v>27025</v>
      </c>
      <c r="D976" t="s">
        <v>272</v>
      </c>
      <c r="E976" t="s">
        <v>261</v>
      </c>
      <c r="F976" t="s">
        <v>262</v>
      </c>
      <c r="G976" t="s">
        <v>263</v>
      </c>
      <c r="H976">
        <v>294865.570165121</v>
      </c>
      <c r="I976" t="s">
        <v>264</v>
      </c>
      <c r="J976" t="s">
        <v>265</v>
      </c>
      <c r="K976">
        <v>53468</v>
      </c>
      <c r="L976" t="s">
        <v>282</v>
      </c>
      <c r="M976">
        <v>5.51</v>
      </c>
    </row>
    <row r="977" spans="1:13" x14ac:dyDescent="0.25">
      <c r="A977">
        <v>2012</v>
      </c>
      <c r="B977" t="s">
        <v>259</v>
      </c>
      <c r="C977">
        <v>27025</v>
      </c>
      <c r="D977" t="s">
        <v>272</v>
      </c>
      <c r="E977" t="s">
        <v>261</v>
      </c>
      <c r="F977" t="s">
        <v>262</v>
      </c>
      <c r="G977" t="s">
        <v>267</v>
      </c>
      <c r="H977">
        <v>19141.705621404999</v>
      </c>
      <c r="I977" t="s">
        <v>264</v>
      </c>
      <c r="J977" t="s">
        <v>265</v>
      </c>
      <c r="K977">
        <v>53468</v>
      </c>
      <c r="L977" t="s">
        <v>282</v>
      </c>
      <c r="M977">
        <v>0.36</v>
      </c>
    </row>
    <row r="978" spans="1:13" x14ac:dyDescent="0.25">
      <c r="A978">
        <v>2012</v>
      </c>
      <c r="B978" t="s">
        <v>259</v>
      </c>
      <c r="C978">
        <v>27025</v>
      </c>
      <c r="D978" t="s">
        <v>272</v>
      </c>
      <c r="E978" t="s">
        <v>261</v>
      </c>
      <c r="F978" t="s">
        <v>262</v>
      </c>
      <c r="G978" t="s">
        <v>269</v>
      </c>
      <c r="H978">
        <v>484.64302095300297</v>
      </c>
      <c r="I978" t="s">
        <v>264</v>
      </c>
      <c r="J978" t="s">
        <v>265</v>
      </c>
      <c r="K978">
        <v>53468</v>
      </c>
      <c r="L978" t="s">
        <v>282</v>
      </c>
      <c r="M978">
        <v>0.01</v>
      </c>
    </row>
    <row r="979" spans="1:13" x14ac:dyDescent="0.25">
      <c r="A979">
        <v>2012</v>
      </c>
      <c r="B979" t="s">
        <v>259</v>
      </c>
      <c r="C979">
        <v>27025</v>
      </c>
      <c r="D979" t="s">
        <v>272</v>
      </c>
      <c r="E979" t="s">
        <v>261</v>
      </c>
      <c r="F979" t="s">
        <v>268</v>
      </c>
      <c r="G979" t="s">
        <v>263</v>
      </c>
      <c r="H979">
        <v>502.21371388073601</v>
      </c>
      <c r="I979" t="s">
        <v>264</v>
      </c>
      <c r="J979" t="s">
        <v>265</v>
      </c>
      <c r="K979">
        <v>53468</v>
      </c>
      <c r="L979" t="s">
        <v>282</v>
      </c>
      <c r="M979">
        <v>0.01</v>
      </c>
    </row>
    <row r="980" spans="1:13" x14ac:dyDescent="0.25">
      <c r="A980">
        <v>2012</v>
      </c>
      <c r="B980" t="s">
        <v>259</v>
      </c>
      <c r="C980">
        <v>27025</v>
      </c>
      <c r="D980" t="s">
        <v>272</v>
      </c>
      <c r="E980" t="s">
        <v>261</v>
      </c>
      <c r="F980" t="s">
        <v>268</v>
      </c>
      <c r="G980" t="s">
        <v>267</v>
      </c>
      <c r="H980">
        <v>3546.9738677790301</v>
      </c>
      <c r="I980" t="s">
        <v>264</v>
      </c>
      <c r="J980" t="s">
        <v>265</v>
      </c>
      <c r="K980">
        <v>53468</v>
      </c>
      <c r="L980" t="s">
        <v>282</v>
      </c>
      <c r="M980">
        <v>7.0000000000000007E-2</v>
      </c>
    </row>
    <row r="981" spans="1:13" x14ac:dyDescent="0.25">
      <c r="A981">
        <v>2012</v>
      </c>
      <c r="B981" t="s">
        <v>259</v>
      </c>
      <c r="C981">
        <v>27025</v>
      </c>
      <c r="D981" t="s">
        <v>272</v>
      </c>
      <c r="E981" t="s">
        <v>261</v>
      </c>
      <c r="F981" t="s">
        <v>268</v>
      </c>
      <c r="G981" t="s">
        <v>269</v>
      </c>
      <c r="H981">
        <v>82.842276999890004</v>
      </c>
      <c r="I981" t="s">
        <v>264</v>
      </c>
      <c r="J981" t="s">
        <v>265</v>
      </c>
      <c r="K981">
        <v>53468</v>
      </c>
      <c r="L981" t="s">
        <v>282</v>
      </c>
      <c r="M981">
        <v>0</v>
      </c>
    </row>
    <row r="982" spans="1:13" x14ac:dyDescent="0.25">
      <c r="A982">
        <v>2012</v>
      </c>
      <c r="B982" t="s">
        <v>259</v>
      </c>
      <c r="C982">
        <v>27025</v>
      </c>
      <c r="D982" t="s">
        <v>272</v>
      </c>
      <c r="E982" t="s">
        <v>261</v>
      </c>
      <c r="F982" t="s">
        <v>270</v>
      </c>
      <c r="G982" t="s">
        <v>263</v>
      </c>
      <c r="H982">
        <v>13559.6515997809</v>
      </c>
      <c r="I982" t="s">
        <v>264</v>
      </c>
      <c r="J982" t="s">
        <v>265</v>
      </c>
      <c r="K982">
        <v>53468</v>
      </c>
      <c r="L982" t="s">
        <v>282</v>
      </c>
      <c r="M982">
        <v>0.25</v>
      </c>
    </row>
    <row r="983" spans="1:13" x14ac:dyDescent="0.25">
      <c r="A983">
        <v>2012</v>
      </c>
      <c r="B983" t="s">
        <v>259</v>
      </c>
      <c r="C983">
        <v>27025</v>
      </c>
      <c r="D983" t="s">
        <v>272</v>
      </c>
      <c r="E983" t="s">
        <v>261</v>
      </c>
      <c r="F983" t="s">
        <v>270</v>
      </c>
      <c r="G983" t="s">
        <v>267</v>
      </c>
      <c r="H983">
        <v>80116.032736118199</v>
      </c>
      <c r="I983" t="s">
        <v>264</v>
      </c>
      <c r="J983" t="s">
        <v>265</v>
      </c>
      <c r="K983">
        <v>53468</v>
      </c>
      <c r="L983" t="s">
        <v>282</v>
      </c>
      <c r="M983">
        <v>1.5</v>
      </c>
    </row>
    <row r="984" spans="1:13" x14ac:dyDescent="0.25">
      <c r="A984">
        <v>2012</v>
      </c>
      <c r="B984" t="s">
        <v>259</v>
      </c>
      <c r="C984">
        <v>27025</v>
      </c>
      <c r="D984" t="s">
        <v>272</v>
      </c>
      <c r="E984" t="s">
        <v>261</v>
      </c>
      <c r="F984" t="s">
        <v>270</v>
      </c>
      <c r="G984" t="s">
        <v>269</v>
      </c>
      <c r="H984">
        <v>23.0785232447687</v>
      </c>
      <c r="I984" t="s">
        <v>264</v>
      </c>
      <c r="J984" t="s">
        <v>265</v>
      </c>
      <c r="K984">
        <v>53468</v>
      </c>
      <c r="L984" t="s">
        <v>282</v>
      </c>
      <c r="M984">
        <v>0</v>
      </c>
    </row>
    <row r="985" spans="1:13" x14ac:dyDescent="0.25">
      <c r="A985">
        <v>2012</v>
      </c>
      <c r="B985" t="s">
        <v>259</v>
      </c>
      <c r="C985">
        <v>27037</v>
      </c>
      <c r="D985" t="s">
        <v>273</v>
      </c>
      <c r="E985" t="s">
        <v>261</v>
      </c>
      <c r="F985" t="s">
        <v>262</v>
      </c>
      <c r="G985" t="s">
        <v>263</v>
      </c>
      <c r="H985">
        <v>1408411.7900578899</v>
      </c>
      <c r="I985" t="s">
        <v>264</v>
      </c>
      <c r="J985" t="s">
        <v>265</v>
      </c>
      <c r="K985">
        <v>404669</v>
      </c>
      <c r="L985" t="s">
        <v>282</v>
      </c>
      <c r="M985">
        <v>3.48</v>
      </c>
    </row>
    <row r="986" spans="1:13" x14ac:dyDescent="0.25">
      <c r="A986">
        <v>2012</v>
      </c>
      <c r="B986" t="s">
        <v>259</v>
      </c>
      <c r="C986">
        <v>27037</v>
      </c>
      <c r="D986" t="s">
        <v>273</v>
      </c>
      <c r="E986" t="s">
        <v>261</v>
      </c>
      <c r="F986" t="s">
        <v>262</v>
      </c>
      <c r="G986" t="s">
        <v>267</v>
      </c>
      <c r="H986">
        <v>32319.776588455399</v>
      </c>
      <c r="I986" t="s">
        <v>264</v>
      </c>
      <c r="J986" t="s">
        <v>265</v>
      </c>
      <c r="K986">
        <v>404669</v>
      </c>
      <c r="L986" t="s">
        <v>282</v>
      </c>
      <c r="M986">
        <v>0.08</v>
      </c>
    </row>
    <row r="987" spans="1:13" x14ac:dyDescent="0.25">
      <c r="A987">
        <v>2012</v>
      </c>
      <c r="B987" t="s">
        <v>259</v>
      </c>
      <c r="C987">
        <v>27037</v>
      </c>
      <c r="D987" t="s">
        <v>273</v>
      </c>
      <c r="E987" t="s">
        <v>261</v>
      </c>
      <c r="F987" t="s">
        <v>262</v>
      </c>
      <c r="G987" t="s">
        <v>269</v>
      </c>
      <c r="H987">
        <v>1951.1466200292</v>
      </c>
      <c r="I987" t="s">
        <v>264</v>
      </c>
      <c r="J987" t="s">
        <v>265</v>
      </c>
      <c r="K987">
        <v>404669</v>
      </c>
      <c r="L987" t="s">
        <v>282</v>
      </c>
      <c r="M987">
        <v>0</v>
      </c>
    </row>
    <row r="988" spans="1:13" x14ac:dyDescent="0.25">
      <c r="A988">
        <v>2012</v>
      </c>
      <c r="B988" t="s">
        <v>259</v>
      </c>
      <c r="C988">
        <v>27037</v>
      </c>
      <c r="D988" t="s">
        <v>273</v>
      </c>
      <c r="E988" t="s">
        <v>261</v>
      </c>
      <c r="F988" t="s">
        <v>268</v>
      </c>
      <c r="G988" t="s">
        <v>263</v>
      </c>
      <c r="H988">
        <v>563.71720520430495</v>
      </c>
      <c r="I988" t="s">
        <v>264</v>
      </c>
      <c r="J988" t="s">
        <v>265</v>
      </c>
      <c r="K988">
        <v>404669</v>
      </c>
      <c r="L988" t="s">
        <v>282</v>
      </c>
      <c r="M988">
        <v>0</v>
      </c>
    </row>
    <row r="989" spans="1:13" x14ac:dyDescent="0.25">
      <c r="A989">
        <v>2012</v>
      </c>
      <c r="B989" t="s">
        <v>259</v>
      </c>
      <c r="C989">
        <v>27037</v>
      </c>
      <c r="D989" t="s">
        <v>273</v>
      </c>
      <c r="E989" t="s">
        <v>261</v>
      </c>
      <c r="F989" t="s">
        <v>268</v>
      </c>
      <c r="G989" t="s">
        <v>267</v>
      </c>
      <c r="H989">
        <v>19735.444870106301</v>
      </c>
      <c r="I989" t="s">
        <v>264</v>
      </c>
      <c r="J989" t="s">
        <v>265</v>
      </c>
      <c r="K989">
        <v>404669</v>
      </c>
      <c r="L989" t="s">
        <v>282</v>
      </c>
      <c r="M989">
        <v>0.05</v>
      </c>
    </row>
    <row r="990" spans="1:13" x14ac:dyDescent="0.25">
      <c r="A990">
        <v>2012</v>
      </c>
      <c r="B990" t="s">
        <v>259</v>
      </c>
      <c r="C990">
        <v>27037</v>
      </c>
      <c r="D990" t="s">
        <v>273</v>
      </c>
      <c r="E990" t="s">
        <v>261</v>
      </c>
      <c r="F990" t="s">
        <v>268</v>
      </c>
      <c r="G990" t="s">
        <v>269</v>
      </c>
      <c r="H990">
        <v>61.900252534876202</v>
      </c>
      <c r="I990" t="s">
        <v>264</v>
      </c>
      <c r="J990" t="s">
        <v>265</v>
      </c>
      <c r="K990">
        <v>404669</v>
      </c>
      <c r="L990" t="s">
        <v>282</v>
      </c>
      <c r="M990">
        <v>0</v>
      </c>
    </row>
    <row r="991" spans="1:13" x14ac:dyDescent="0.25">
      <c r="A991">
        <v>2012</v>
      </c>
      <c r="B991" t="s">
        <v>259</v>
      </c>
      <c r="C991">
        <v>27037</v>
      </c>
      <c r="D991" t="s">
        <v>273</v>
      </c>
      <c r="E991" t="s">
        <v>261</v>
      </c>
      <c r="F991" t="s">
        <v>270</v>
      </c>
      <c r="G991" t="s">
        <v>263</v>
      </c>
      <c r="H991">
        <v>90420.2841119363</v>
      </c>
      <c r="I991" t="s">
        <v>264</v>
      </c>
      <c r="J991" t="s">
        <v>265</v>
      </c>
      <c r="K991">
        <v>404669</v>
      </c>
      <c r="L991" t="s">
        <v>282</v>
      </c>
      <c r="M991">
        <v>0.22</v>
      </c>
    </row>
    <row r="992" spans="1:13" x14ac:dyDescent="0.25">
      <c r="A992">
        <v>2012</v>
      </c>
      <c r="B992" t="s">
        <v>259</v>
      </c>
      <c r="C992">
        <v>27037</v>
      </c>
      <c r="D992" t="s">
        <v>273</v>
      </c>
      <c r="E992" t="s">
        <v>261</v>
      </c>
      <c r="F992" t="s">
        <v>270</v>
      </c>
      <c r="G992" t="s">
        <v>267</v>
      </c>
      <c r="H992">
        <v>396623.11767806602</v>
      </c>
      <c r="I992" t="s">
        <v>264</v>
      </c>
      <c r="J992" t="s">
        <v>265</v>
      </c>
      <c r="K992">
        <v>404669</v>
      </c>
      <c r="L992" t="s">
        <v>282</v>
      </c>
      <c r="M992">
        <v>0.98</v>
      </c>
    </row>
    <row r="993" spans="1:13" x14ac:dyDescent="0.25">
      <c r="A993">
        <v>2012</v>
      </c>
      <c r="B993" t="s">
        <v>259</v>
      </c>
      <c r="C993">
        <v>27037</v>
      </c>
      <c r="D993" t="s">
        <v>273</v>
      </c>
      <c r="E993" t="s">
        <v>261</v>
      </c>
      <c r="F993" t="s">
        <v>270</v>
      </c>
      <c r="G993" t="s">
        <v>269</v>
      </c>
      <c r="H993">
        <v>195.58654964679801</v>
      </c>
      <c r="I993" t="s">
        <v>264</v>
      </c>
      <c r="J993" t="s">
        <v>265</v>
      </c>
      <c r="K993">
        <v>404669</v>
      </c>
      <c r="L993" t="s">
        <v>282</v>
      </c>
      <c r="M993">
        <v>0</v>
      </c>
    </row>
    <row r="994" spans="1:13" x14ac:dyDescent="0.25">
      <c r="A994">
        <v>2012</v>
      </c>
      <c r="B994" t="s">
        <v>259</v>
      </c>
      <c r="C994">
        <v>27053</v>
      </c>
      <c r="D994" t="s">
        <v>274</v>
      </c>
      <c r="E994" t="s">
        <v>261</v>
      </c>
      <c r="F994" t="s">
        <v>262</v>
      </c>
      <c r="G994" t="s">
        <v>263</v>
      </c>
      <c r="H994">
        <v>3713992.0108500398</v>
      </c>
      <c r="I994" t="s">
        <v>264</v>
      </c>
      <c r="J994" t="s">
        <v>265</v>
      </c>
      <c r="K994">
        <v>1184545</v>
      </c>
      <c r="L994" t="s">
        <v>282</v>
      </c>
      <c r="M994">
        <v>3.14</v>
      </c>
    </row>
    <row r="995" spans="1:13" x14ac:dyDescent="0.25">
      <c r="A995">
        <v>2012</v>
      </c>
      <c r="B995" t="s">
        <v>259</v>
      </c>
      <c r="C995">
        <v>27053</v>
      </c>
      <c r="D995" t="s">
        <v>274</v>
      </c>
      <c r="E995" t="s">
        <v>261</v>
      </c>
      <c r="F995" t="s">
        <v>262</v>
      </c>
      <c r="G995" t="s">
        <v>267</v>
      </c>
      <c r="H995">
        <v>56723.3814689801</v>
      </c>
      <c r="I995" t="s">
        <v>264</v>
      </c>
      <c r="J995" t="s">
        <v>265</v>
      </c>
      <c r="K995">
        <v>1184545</v>
      </c>
      <c r="L995" t="s">
        <v>282</v>
      </c>
      <c r="M995">
        <v>0.05</v>
      </c>
    </row>
    <row r="996" spans="1:13" x14ac:dyDescent="0.25">
      <c r="A996">
        <v>2012</v>
      </c>
      <c r="B996" t="s">
        <v>259</v>
      </c>
      <c r="C996">
        <v>27053</v>
      </c>
      <c r="D996" t="s">
        <v>274</v>
      </c>
      <c r="E996" t="s">
        <v>261</v>
      </c>
      <c r="F996" t="s">
        <v>262</v>
      </c>
      <c r="G996" t="s">
        <v>269</v>
      </c>
      <c r="H996">
        <v>4182.3948471925896</v>
      </c>
      <c r="I996" t="s">
        <v>264</v>
      </c>
      <c r="J996" t="s">
        <v>265</v>
      </c>
      <c r="K996">
        <v>1184545</v>
      </c>
      <c r="L996" t="s">
        <v>282</v>
      </c>
      <c r="M996">
        <v>0</v>
      </c>
    </row>
    <row r="997" spans="1:13" x14ac:dyDescent="0.25">
      <c r="A997">
        <v>2012</v>
      </c>
      <c r="B997" t="s">
        <v>259</v>
      </c>
      <c r="C997">
        <v>27053</v>
      </c>
      <c r="D997" t="s">
        <v>274</v>
      </c>
      <c r="E997" t="s">
        <v>261</v>
      </c>
      <c r="F997" t="s">
        <v>268</v>
      </c>
      <c r="G997" t="s">
        <v>263</v>
      </c>
      <c r="H997">
        <v>4839.1240500220101</v>
      </c>
      <c r="I997" t="s">
        <v>264</v>
      </c>
      <c r="J997" t="s">
        <v>265</v>
      </c>
      <c r="K997">
        <v>1184545</v>
      </c>
      <c r="L997" t="s">
        <v>282</v>
      </c>
      <c r="M997">
        <v>0</v>
      </c>
    </row>
    <row r="998" spans="1:13" x14ac:dyDescent="0.25">
      <c r="A998">
        <v>2012</v>
      </c>
      <c r="B998" t="s">
        <v>259</v>
      </c>
      <c r="C998">
        <v>27053</v>
      </c>
      <c r="D998" t="s">
        <v>274</v>
      </c>
      <c r="E998" t="s">
        <v>261</v>
      </c>
      <c r="F998" t="s">
        <v>268</v>
      </c>
      <c r="G998" t="s">
        <v>267</v>
      </c>
      <c r="H998">
        <v>52930.119816956198</v>
      </c>
      <c r="I998" t="s">
        <v>264</v>
      </c>
      <c r="J998" t="s">
        <v>265</v>
      </c>
      <c r="K998">
        <v>1184545</v>
      </c>
      <c r="L998" t="s">
        <v>282</v>
      </c>
      <c r="M998">
        <v>0.04</v>
      </c>
    </row>
    <row r="999" spans="1:13" x14ac:dyDescent="0.25">
      <c r="A999">
        <v>2012</v>
      </c>
      <c r="B999" t="s">
        <v>259</v>
      </c>
      <c r="C999">
        <v>27053</v>
      </c>
      <c r="D999" t="s">
        <v>274</v>
      </c>
      <c r="E999" t="s">
        <v>261</v>
      </c>
      <c r="F999" t="s">
        <v>268</v>
      </c>
      <c r="G999" t="s">
        <v>269</v>
      </c>
      <c r="H999">
        <v>15.3667923672171</v>
      </c>
      <c r="I999" t="s">
        <v>264</v>
      </c>
      <c r="J999" t="s">
        <v>265</v>
      </c>
      <c r="K999">
        <v>1184545</v>
      </c>
      <c r="L999" t="s">
        <v>282</v>
      </c>
      <c r="M999">
        <v>0</v>
      </c>
    </row>
    <row r="1000" spans="1:13" x14ac:dyDescent="0.25">
      <c r="A1000">
        <v>2012</v>
      </c>
      <c r="B1000" t="s">
        <v>259</v>
      </c>
      <c r="C1000">
        <v>27053</v>
      </c>
      <c r="D1000" t="s">
        <v>274</v>
      </c>
      <c r="E1000" t="s">
        <v>261</v>
      </c>
      <c r="F1000" t="s">
        <v>270</v>
      </c>
      <c r="G1000" t="s">
        <v>263</v>
      </c>
      <c r="H1000">
        <v>371675.580256471</v>
      </c>
      <c r="I1000" t="s">
        <v>264</v>
      </c>
      <c r="J1000" t="s">
        <v>265</v>
      </c>
      <c r="K1000">
        <v>1184545</v>
      </c>
      <c r="L1000" t="s">
        <v>282</v>
      </c>
      <c r="M1000">
        <v>0.31</v>
      </c>
    </row>
    <row r="1001" spans="1:13" x14ac:dyDescent="0.25">
      <c r="A1001">
        <v>2012</v>
      </c>
      <c r="B1001" t="s">
        <v>259</v>
      </c>
      <c r="C1001">
        <v>27053</v>
      </c>
      <c r="D1001" t="s">
        <v>274</v>
      </c>
      <c r="E1001" t="s">
        <v>261</v>
      </c>
      <c r="F1001" t="s">
        <v>270</v>
      </c>
      <c r="G1001" t="s">
        <v>267</v>
      </c>
      <c r="H1001">
        <v>1034898.93201982</v>
      </c>
      <c r="I1001" t="s">
        <v>264</v>
      </c>
      <c r="J1001" t="s">
        <v>265</v>
      </c>
      <c r="K1001">
        <v>1184545</v>
      </c>
      <c r="L1001" t="s">
        <v>282</v>
      </c>
      <c r="M1001">
        <v>0.87</v>
      </c>
    </row>
    <row r="1002" spans="1:13" x14ac:dyDescent="0.25">
      <c r="A1002">
        <v>2012</v>
      </c>
      <c r="B1002" t="s">
        <v>259</v>
      </c>
      <c r="C1002">
        <v>27053</v>
      </c>
      <c r="D1002" t="s">
        <v>274</v>
      </c>
      <c r="E1002" t="s">
        <v>261</v>
      </c>
      <c r="F1002" t="s">
        <v>270</v>
      </c>
      <c r="G1002" t="s">
        <v>269</v>
      </c>
      <c r="H1002">
        <v>813.83117989689697</v>
      </c>
      <c r="I1002" t="s">
        <v>264</v>
      </c>
      <c r="J1002" t="s">
        <v>265</v>
      </c>
      <c r="K1002">
        <v>1184545</v>
      </c>
      <c r="L1002" t="s">
        <v>282</v>
      </c>
      <c r="M1002">
        <v>0</v>
      </c>
    </row>
    <row r="1003" spans="1:13" x14ac:dyDescent="0.25">
      <c r="A1003">
        <v>2012</v>
      </c>
      <c r="B1003" t="s">
        <v>259</v>
      </c>
      <c r="C1003">
        <v>27123</v>
      </c>
      <c r="D1003" t="s">
        <v>275</v>
      </c>
      <c r="E1003" t="s">
        <v>261</v>
      </c>
      <c r="F1003" t="s">
        <v>262</v>
      </c>
      <c r="G1003" t="s">
        <v>263</v>
      </c>
      <c r="H1003">
        <v>1549711.5957438</v>
      </c>
      <c r="I1003" t="s">
        <v>264</v>
      </c>
      <c r="J1003" t="s">
        <v>265</v>
      </c>
      <c r="K1003">
        <v>521091</v>
      </c>
      <c r="L1003" t="s">
        <v>282</v>
      </c>
      <c r="M1003">
        <v>2.97</v>
      </c>
    </row>
    <row r="1004" spans="1:13" x14ac:dyDescent="0.25">
      <c r="A1004">
        <v>2012</v>
      </c>
      <c r="B1004" t="s">
        <v>259</v>
      </c>
      <c r="C1004">
        <v>27123</v>
      </c>
      <c r="D1004" t="s">
        <v>275</v>
      </c>
      <c r="E1004" t="s">
        <v>261</v>
      </c>
      <c r="F1004" t="s">
        <v>262</v>
      </c>
      <c r="G1004" t="s">
        <v>267</v>
      </c>
      <c r="H1004">
        <v>22165.500704501501</v>
      </c>
      <c r="I1004" t="s">
        <v>264</v>
      </c>
      <c r="J1004" t="s">
        <v>265</v>
      </c>
      <c r="K1004">
        <v>521091</v>
      </c>
      <c r="L1004" t="s">
        <v>282</v>
      </c>
      <c r="M1004">
        <v>0.04</v>
      </c>
    </row>
    <row r="1005" spans="1:13" x14ac:dyDescent="0.25">
      <c r="A1005">
        <v>2012</v>
      </c>
      <c r="B1005" t="s">
        <v>259</v>
      </c>
      <c r="C1005">
        <v>27123</v>
      </c>
      <c r="D1005" t="s">
        <v>275</v>
      </c>
      <c r="E1005" t="s">
        <v>261</v>
      </c>
      <c r="F1005" t="s">
        <v>262</v>
      </c>
      <c r="G1005" t="s">
        <v>269</v>
      </c>
      <c r="H1005">
        <v>1591.30520537998</v>
      </c>
      <c r="I1005" t="s">
        <v>264</v>
      </c>
      <c r="J1005" t="s">
        <v>265</v>
      </c>
      <c r="K1005">
        <v>521091</v>
      </c>
      <c r="L1005" t="s">
        <v>282</v>
      </c>
      <c r="M1005">
        <v>0</v>
      </c>
    </row>
    <row r="1006" spans="1:13" x14ac:dyDescent="0.25">
      <c r="A1006">
        <v>2012</v>
      </c>
      <c r="B1006" t="s">
        <v>259</v>
      </c>
      <c r="C1006">
        <v>27123</v>
      </c>
      <c r="D1006" t="s">
        <v>275</v>
      </c>
      <c r="E1006" t="s">
        <v>261</v>
      </c>
      <c r="F1006" t="s">
        <v>268</v>
      </c>
      <c r="G1006" t="s">
        <v>263</v>
      </c>
      <c r="H1006">
        <v>2280.5875021735401</v>
      </c>
      <c r="I1006" t="s">
        <v>264</v>
      </c>
      <c r="J1006" t="s">
        <v>265</v>
      </c>
      <c r="K1006">
        <v>521091</v>
      </c>
      <c r="L1006" t="s">
        <v>282</v>
      </c>
      <c r="M1006">
        <v>0</v>
      </c>
    </row>
    <row r="1007" spans="1:13" x14ac:dyDescent="0.25">
      <c r="A1007">
        <v>2012</v>
      </c>
      <c r="B1007" t="s">
        <v>259</v>
      </c>
      <c r="C1007">
        <v>27123</v>
      </c>
      <c r="D1007" t="s">
        <v>275</v>
      </c>
      <c r="E1007" t="s">
        <v>261</v>
      </c>
      <c r="F1007" t="s">
        <v>268</v>
      </c>
      <c r="G1007" t="s">
        <v>267</v>
      </c>
      <c r="H1007">
        <v>20567.506481108601</v>
      </c>
      <c r="I1007" t="s">
        <v>264</v>
      </c>
      <c r="J1007" t="s">
        <v>265</v>
      </c>
      <c r="K1007">
        <v>521091</v>
      </c>
      <c r="L1007" t="s">
        <v>282</v>
      </c>
      <c r="M1007">
        <v>0.04</v>
      </c>
    </row>
    <row r="1008" spans="1:13" x14ac:dyDescent="0.25">
      <c r="A1008">
        <v>2012</v>
      </c>
      <c r="B1008" t="s">
        <v>259</v>
      </c>
      <c r="C1008">
        <v>27123</v>
      </c>
      <c r="D1008" t="s">
        <v>275</v>
      </c>
      <c r="E1008" t="s">
        <v>261</v>
      </c>
      <c r="F1008" t="s">
        <v>268</v>
      </c>
      <c r="G1008" t="s">
        <v>269</v>
      </c>
      <c r="H1008">
        <v>115.930549168588</v>
      </c>
      <c r="I1008" t="s">
        <v>264</v>
      </c>
      <c r="J1008" t="s">
        <v>265</v>
      </c>
      <c r="K1008">
        <v>521091</v>
      </c>
      <c r="L1008" t="s">
        <v>282</v>
      </c>
      <c r="M1008">
        <v>0</v>
      </c>
    </row>
    <row r="1009" spans="1:13" x14ac:dyDescent="0.25">
      <c r="A1009">
        <v>2012</v>
      </c>
      <c r="B1009" t="s">
        <v>259</v>
      </c>
      <c r="C1009">
        <v>27123</v>
      </c>
      <c r="D1009" t="s">
        <v>275</v>
      </c>
      <c r="E1009" t="s">
        <v>261</v>
      </c>
      <c r="F1009" t="s">
        <v>270</v>
      </c>
      <c r="G1009" t="s">
        <v>263</v>
      </c>
      <c r="H1009">
        <v>147580.62962175999</v>
      </c>
      <c r="I1009" t="s">
        <v>264</v>
      </c>
      <c r="J1009" t="s">
        <v>265</v>
      </c>
      <c r="K1009">
        <v>521091</v>
      </c>
      <c r="L1009" t="s">
        <v>282</v>
      </c>
      <c r="M1009">
        <v>0.28000000000000003</v>
      </c>
    </row>
    <row r="1010" spans="1:13" x14ac:dyDescent="0.25">
      <c r="A1010">
        <v>2012</v>
      </c>
      <c r="B1010" t="s">
        <v>259</v>
      </c>
      <c r="C1010">
        <v>27123</v>
      </c>
      <c r="D1010" t="s">
        <v>275</v>
      </c>
      <c r="E1010" t="s">
        <v>261</v>
      </c>
      <c r="F1010" t="s">
        <v>270</v>
      </c>
      <c r="G1010" t="s">
        <v>267</v>
      </c>
      <c r="H1010">
        <v>438494.27274470998</v>
      </c>
      <c r="I1010" t="s">
        <v>264</v>
      </c>
      <c r="J1010" t="s">
        <v>265</v>
      </c>
      <c r="K1010">
        <v>521091</v>
      </c>
      <c r="L1010" t="s">
        <v>282</v>
      </c>
      <c r="M1010">
        <v>0.84</v>
      </c>
    </row>
    <row r="1011" spans="1:13" x14ac:dyDescent="0.25">
      <c r="A1011">
        <v>2012</v>
      </c>
      <c r="B1011" t="s">
        <v>259</v>
      </c>
      <c r="C1011">
        <v>27123</v>
      </c>
      <c r="D1011" t="s">
        <v>275</v>
      </c>
      <c r="E1011" t="s">
        <v>261</v>
      </c>
      <c r="F1011" t="s">
        <v>270</v>
      </c>
      <c r="G1011" t="s">
        <v>269</v>
      </c>
      <c r="H1011">
        <v>304.69108760566701</v>
      </c>
      <c r="I1011" t="s">
        <v>264</v>
      </c>
      <c r="J1011" t="s">
        <v>265</v>
      </c>
      <c r="K1011">
        <v>521091</v>
      </c>
      <c r="L1011" t="s">
        <v>282</v>
      </c>
      <c r="M1011">
        <v>0</v>
      </c>
    </row>
    <row r="1012" spans="1:13" x14ac:dyDescent="0.25">
      <c r="A1012">
        <v>2012</v>
      </c>
      <c r="B1012" t="s">
        <v>259</v>
      </c>
      <c r="C1012">
        <v>27139</v>
      </c>
      <c r="D1012" t="s">
        <v>276</v>
      </c>
      <c r="E1012" t="s">
        <v>261</v>
      </c>
      <c r="F1012" t="s">
        <v>262</v>
      </c>
      <c r="G1012" t="s">
        <v>263</v>
      </c>
      <c r="H1012">
        <v>479447.92098592798</v>
      </c>
      <c r="I1012" t="s">
        <v>264</v>
      </c>
      <c r="J1012" t="s">
        <v>265</v>
      </c>
      <c r="K1012">
        <v>135140</v>
      </c>
      <c r="L1012" t="s">
        <v>282</v>
      </c>
      <c r="M1012">
        <v>3.55</v>
      </c>
    </row>
    <row r="1013" spans="1:13" x14ac:dyDescent="0.25">
      <c r="A1013">
        <v>2012</v>
      </c>
      <c r="B1013" t="s">
        <v>259</v>
      </c>
      <c r="C1013">
        <v>27139</v>
      </c>
      <c r="D1013" t="s">
        <v>276</v>
      </c>
      <c r="E1013" t="s">
        <v>261</v>
      </c>
      <c r="F1013" t="s">
        <v>262</v>
      </c>
      <c r="G1013" t="s">
        <v>267</v>
      </c>
      <c r="H1013">
        <v>18577.5744901668</v>
      </c>
      <c r="I1013" t="s">
        <v>264</v>
      </c>
      <c r="J1013" t="s">
        <v>265</v>
      </c>
      <c r="K1013">
        <v>135140</v>
      </c>
      <c r="L1013" t="s">
        <v>282</v>
      </c>
      <c r="M1013">
        <v>0.14000000000000001</v>
      </c>
    </row>
    <row r="1014" spans="1:13" x14ac:dyDescent="0.25">
      <c r="A1014">
        <v>2012</v>
      </c>
      <c r="B1014" t="s">
        <v>259</v>
      </c>
      <c r="C1014">
        <v>27139</v>
      </c>
      <c r="D1014" t="s">
        <v>276</v>
      </c>
      <c r="E1014" t="s">
        <v>261</v>
      </c>
      <c r="F1014" t="s">
        <v>262</v>
      </c>
      <c r="G1014" t="s">
        <v>269</v>
      </c>
      <c r="H1014">
        <v>778.84514939203996</v>
      </c>
      <c r="I1014" t="s">
        <v>264</v>
      </c>
      <c r="J1014" t="s">
        <v>265</v>
      </c>
      <c r="K1014">
        <v>135140</v>
      </c>
      <c r="L1014" t="s">
        <v>282</v>
      </c>
      <c r="M1014">
        <v>0.01</v>
      </c>
    </row>
    <row r="1015" spans="1:13" x14ac:dyDescent="0.25">
      <c r="A1015">
        <v>2012</v>
      </c>
      <c r="B1015" t="s">
        <v>259</v>
      </c>
      <c r="C1015">
        <v>27139</v>
      </c>
      <c r="D1015" t="s">
        <v>276</v>
      </c>
      <c r="E1015" t="s">
        <v>261</v>
      </c>
      <c r="F1015" t="s">
        <v>268</v>
      </c>
      <c r="G1015" t="s">
        <v>263</v>
      </c>
      <c r="H1015">
        <v>731.79599522487604</v>
      </c>
      <c r="I1015" t="s">
        <v>264</v>
      </c>
      <c r="J1015" t="s">
        <v>265</v>
      </c>
      <c r="K1015">
        <v>135140</v>
      </c>
      <c r="L1015" t="s">
        <v>282</v>
      </c>
      <c r="M1015">
        <v>0.01</v>
      </c>
    </row>
    <row r="1016" spans="1:13" x14ac:dyDescent="0.25">
      <c r="A1016">
        <v>2012</v>
      </c>
      <c r="B1016" t="s">
        <v>259</v>
      </c>
      <c r="C1016">
        <v>27139</v>
      </c>
      <c r="D1016" t="s">
        <v>276</v>
      </c>
      <c r="E1016" t="s">
        <v>261</v>
      </c>
      <c r="F1016" t="s">
        <v>268</v>
      </c>
      <c r="G1016" t="s">
        <v>267</v>
      </c>
      <c r="H1016">
        <v>6096.5624283654897</v>
      </c>
      <c r="I1016" t="s">
        <v>264</v>
      </c>
      <c r="J1016" t="s">
        <v>265</v>
      </c>
      <c r="K1016">
        <v>135140</v>
      </c>
      <c r="L1016" t="s">
        <v>282</v>
      </c>
      <c r="M1016">
        <v>0.05</v>
      </c>
    </row>
    <row r="1017" spans="1:13" x14ac:dyDescent="0.25">
      <c r="A1017">
        <v>2012</v>
      </c>
      <c r="B1017" t="s">
        <v>259</v>
      </c>
      <c r="C1017">
        <v>27139</v>
      </c>
      <c r="D1017" t="s">
        <v>276</v>
      </c>
      <c r="E1017" t="s">
        <v>261</v>
      </c>
      <c r="F1017" t="s">
        <v>268</v>
      </c>
      <c r="G1017" t="s">
        <v>269</v>
      </c>
      <c r="H1017">
        <v>77.704506670090197</v>
      </c>
      <c r="I1017" t="s">
        <v>264</v>
      </c>
      <c r="J1017" t="s">
        <v>265</v>
      </c>
      <c r="K1017">
        <v>135140</v>
      </c>
      <c r="L1017" t="s">
        <v>282</v>
      </c>
      <c r="M1017">
        <v>0</v>
      </c>
    </row>
    <row r="1018" spans="1:13" x14ac:dyDescent="0.25">
      <c r="A1018">
        <v>2012</v>
      </c>
      <c r="B1018" t="s">
        <v>259</v>
      </c>
      <c r="C1018">
        <v>27139</v>
      </c>
      <c r="D1018" t="s">
        <v>276</v>
      </c>
      <c r="E1018" t="s">
        <v>261</v>
      </c>
      <c r="F1018" t="s">
        <v>270</v>
      </c>
      <c r="G1018" t="s">
        <v>263</v>
      </c>
      <c r="H1018">
        <v>30576.8743233805</v>
      </c>
      <c r="I1018" t="s">
        <v>264</v>
      </c>
      <c r="J1018" t="s">
        <v>265</v>
      </c>
      <c r="K1018">
        <v>135140</v>
      </c>
      <c r="L1018" t="s">
        <v>282</v>
      </c>
      <c r="M1018">
        <v>0.23</v>
      </c>
    </row>
    <row r="1019" spans="1:13" x14ac:dyDescent="0.25">
      <c r="A1019">
        <v>2012</v>
      </c>
      <c r="B1019" t="s">
        <v>259</v>
      </c>
      <c r="C1019">
        <v>27139</v>
      </c>
      <c r="D1019" t="s">
        <v>276</v>
      </c>
      <c r="E1019" t="s">
        <v>261</v>
      </c>
      <c r="F1019" t="s">
        <v>270</v>
      </c>
      <c r="G1019" t="s">
        <v>267</v>
      </c>
      <c r="H1019">
        <v>130762.436016765</v>
      </c>
      <c r="I1019" t="s">
        <v>264</v>
      </c>
      <c r="J1019" t="s">
        <v>265</v>
      </c>
      <c r="K1019">
        <v>135140</v>
      </c>
      <c r="L1019" t="s">
        <v>282</v>
      </c>
      <c r="M1019">
        <v>0.97</v>
      </c>
    </row>
    <row r="1020" spans="1:13" x14ac:dyDescent="0.25">
      <c r="A1020">
        <v>2012</v>
      </c>
      <c r="B1020" t="s">
        <v>259</v>
      </c>
      <c r="C1020">
        <v>27139</v>
      </c>
      <c r="D1020" t="s">
        <v>276</v>
      </c>
      <c r="E1020" t="s">
        <v>261</v>
      </c>
      <c r="F1020" t="s">
        <v>270</v>
      </c>
      <c r="G1020" t="s">
        <v>269</v>
      </c>
      <c r="H1020">
        <v>67.7039442960222</v>
      </c>
      <c r="I1020" t="s">
        <v>264</v>
      </c>
      <c r="J1020" t="s">
        <v>265</v>
      </c>
      <c r="K1020">
        <v>135140</v>
      </c>
      <c r="L1020" t="s">
        <v>282</v>
      </c>
      <c r="M1020">
        <v>0</v>
      </c>
    </row>
    <row r="1021" spans="1:13" x14ac:dyDescent="0.25">
      <c r="A1021">
        <v>2012</v>
      </c>
      <c r="B1021" t="s">
        <v>259</v>
      </c>
      <c r="C1021">
        <v>27141</v>
      </c>
      <c r="D1021" t="s">
        <v>277</v>
      </c>
      <c r="E1021" t="s">
        <v>261</v>
      </c>
      <c r="F1021" t="s">
        <v>262</v>
      </c>
      <c r="G1021" t="s">
        <v>263</v>
      </c>
      <c r="H1021">
        <v>317284.8239133</v>
      </c>
      <c r="I1021" t="s">
        <v>264</v>
      </c>
      <c r="J1021" t="s">
        <v>265</v>
      </c>
      <c r="K1021">
        <v>89474</v>
      </c>
      <c r="L1021" t="s">
        <v>282</v>
      </c>
      <c r="M1021">
        <v>3.55</v>
      </c>
    </row>
    <row r="1022" spans="1:13" x14ac:dyDescent="0.25">
      <c r="A1022">
        <v>2012</v>
      </c>
      <c r="B1022" t="s">
        <v>259</v>
      </c>
      <c r="C1022">
        <v>27141</v>
      </c>
      <c r="D1022" t="s">
        <v>277</v>
      </c>
      <c r="E1022" t="s">
        <v>261</v>
      </c>
      <c r="F1022" t="s">
        <v>262</v>
      </c>
      <c r="G1022" t="s">
        <v>267</v>
      </c>
      <c r="H1022">
        <v>18596.463784462001</v>
      </c>
      <c r="I1022" t="s">
        <v>264</v>
      </c>
      <c r="J1022" t="s">
        <v>265</v>
      </c>
      <c r="K1022">
        <v>89474</v>
      </c>
      <c r="L1022" t="s">
        <v>282</v>
      </c>
      <c r="M1022">
        <v>0.21</v>
      </c>
    </row>
    <row r="1023" spans="1:13" x14ac:dyDescent="0.25">
      <c r="A1023">
        <v>2012</v>
      </c>
      <c r="B1023" t="s">
        <v>259</v>
      </c>
      <c r="C1023">
        <v>27141</v>
      </c>
      <c r="D1023" t="s">
        <v>277</v>
      </c>
      <c r="E1023" t="s">
        <v>261</v>
      </c>
      <c r="F1023" t="s">
        <v>262</v>
      </c>
      <c r="G1023" t="s">
        <v>269</v>
      </c>
      <c r="H1023">
        <v>554.02140405919397</v>
      </c>
      <c r="I1023" t="s">
        <v>264</v>
      </c>
      <c r="J1023" t="s">
        <v>265</v>
      </c>
      <c r="K1023">
        <v>89474</v>
      </c>
      <c r="L1023" t="s">
        <v>282</v>
      </c>
      <c r="M1023">
        <v>0.01</v>
      </c>
    </row>
    <row r="1024" spans="1:13" x14ac:dyDescent="0.25">
      <c r="A1024">
        <v>2012</v>
      </c>
      <c r="B1024" t="s">
        <v>259</v>
      </c>
      <c r="C1024">
        <v>27141</v>
      </c>
      <c r="D1024" t="s">
        <v>277</v>
      </c>
      <c r="E1024" t="s">
        <v>261</v>
      </c>
      <c r="F1024" t="s">
        <v>268</v>
      </c>
      <c r="G1024" t="s">
        <v>263</v>
      </c>
      <c r="H1024">
        <v>246.29396177410101</v>
      </c>
      <c r="I1024" t="s">
        <v>264</v>
      </c>
      <c r="J1024" t="s">
        <v>265</v>
      </c>
      <c r="K1024">
        <v>89474</v>
      </c>
      <c r="L1024" t="s">
        <v>282</v>
      </c>
      <c r="M1024">
        <v>0</v>
      </c>
    </row>
    <row r="1025" spans="1:13" x14ac:dyDescent="0.25">
      <c r="A1025">
        <v>2012</v>
      </c>
      <c r="B1025" t="s">
        <v>259</v>
      </c>
      <c r="C1025">
        <v>27141</v>
      </c>
      <c r="D1025" t="s">
        <v>277</v>
      </c>
      <c r="E1025" t="s">
        <v>261</v>
      </c>
      <c r="F1025" t="s">
        <v>268</v>
      </c>
      <c r="G1025" t="s">
        <v>267</v>
      </c>
      <c r="H1025">
        <v>4066.7314780321399</v>
      </c>
      <c r="I1025" t="s">
        <v>264</v>
      </c>
      <c r="J1025" t="s">
        <v>265</v>
      </c>
      <c r="K1025">
        <v>89474</v>
      </c>
      <c r="L1025" t="s">
        <v>282</v>
      </c>
      <c r="M1025">
        <v>0.05</v>
      </c>
    </row>
    <row r="1026" spans="1:13" x14ac:dyDescent="0.25">
      <c r="A1026">
        <v>2012</v>
      </c>
      <c r="B1026" t="s">
        <v>259</v>
      </c>
      <c r="C1026">
        <v>27141</v>
      </c>
      <c r="D1026" t="s">
        <v>277</v>
      </c>
      <c r="E1026" t="s">
        <v>261</v>
      </c>
      <c r="F1026" t="s">
        <v>268</v>
      </c>
      <c r="G1026" t="s">
        <v>269</v>
      </c>
      <c r="H1026">
        <v>65.115991216816596</v>
      </c>
      <c r="I1026" t="s">
        <v>264</v>
      </c>
      <c r="J1026" t="s">
        <v>265</v>
      </c>
      <c r="K1026">
        <v>89474</v>
      </c>
      <c r="L1026" t="s">
        <v>282</v>
      </c>
      <c r="M1026">
        <v>0</v>
      </c>
    </row>
    <row r="1027" spans="1:13" x14ac:dyDescent="0.25">
      <c r="A1027">
        <v>2012</v>
      </c>
      <c r="B1027" t="s">
        <v>259</v>
      </c>
      <c r="C1027">
        <v>27141</v>
      </c>
      <c r="D1027" t="s">
        <v>277</v>
      </c>
      <c r="E1027" t="s">
        <v>261</v>
      </c>
      <c r="F1027" t="s">
        <v>270</v>
      </c>
      <c r="G1027" t="s">
        <v>263</v>
      </c>
      <c r="H1027">
        <v>18580.572794758598</v>
      </c>
      <c r="I1027" t="s">
        <v>264</v>
      </c>
      <c r="J1027" t="s">
        <v>265</v>
      </c>
      <c r="K1027">
        <v>89474</v>
      </c>
      <c r="L1027" t="s">
        <v>282</v>
      </c>
      <c r="M1027">
        <v>0.21</v>
      </c>
    </row>
    <row r="1028" spans="1:13" x14ac:dyDescent="0.25">
      <c r="A1028">
        <v>2012</v>
      </c>
      <c r="B1028" t="s">
        <v>259</v>
      </c>
      <c r="C1028">
        <v>27141</v>
      </c>
      <c r="D1028" t="s">
        <v>277</v>
      </c>
      <c r="E1028" t="s">
        <v>261</v>
      </c>
      <c r="F1028" t="s">
        <v>270</v>
      </c>
      <c r="G1028" t="s">
        <v>267</v>
      </c>
      <c r="H1028">
        <v>87848.235275122599</v>
      </c>
      <c r="I1028" t="s">
        <v>264</v>
      </c>
      <c r="J1028" t="s">
        <v>265</v>
      </c>
      <c r="K1028">
        <v>89474</v>
      </c>
      <c r="L1028" t="s">
        <v>282</v>
      </c>
      <c r="M1028">
        <v>0.98</v>
      </c>
    </row>
    <row r="1029" spans="1:13" x14ac:dyDescent="0.25">
      <c r="A1029">
        <v>2012</v>
      </c>
      <c r="B1029" t="s">
        <v>259</v>
      </c>
      <c r="C1029">
        <v>27141</v>
      </c>
      <c r="D1029" t="s">
        <v>277</v>
      </c>
      <c r="E1029" t="s">
        <v>261</v>
      </c>
      <c r="F1029" t="s">
        <v>270</v>
      </c>
      <c r="G1029" t="s">
        <v>269</v>
      </c>
      <c r="H1029">
        <v>37.027190959913597</v>
      </c>
      <c r="I1029" t="s">
        <v>264</v>
      </c>
      <c r="J1029" t="s">
        <v>265</v>
      </c>
      <c r="K1029">
        <v>89474</v>
      </c>
      <c r="L1029" t="s">
        <v>282</v>
      </c>
      <c r="M1029">
        <v>0</v>
      </c>
    </row>
    <row r="1030" spans="1:13" x14ac:dyDescent="0.25">
      <c r="A1030">
        <v>2012</v>
      </c>
      <c r="B1030" t="s">
        <v>259</v>
      </c>
      <c r="C1030">
        <v>27163</v>
      </c>
      <c r="D1030" t="s">
        <v>278</v>
      </c>
      <c r="E1030" t="s">
        <v>261</v>
      </c>
      <c r="F1030" t="s">
        <v>262</v>
      </c>
      <c r="G1030" t="s">
        <v>263</v>
      </c>
      <c r="H1030">
        <v>834960.78341979999</v>
      </c>
      <c r="I1030" t="s">
        <v>264</v>
      </c>
      <c r="J1030" t="s">
        <v>265</v>
      </c>
      <c r="K1030">
        <v>243720</v>
      </c>
      <c r="L1030" t="s">
        <v>282</v>
      </c>
      <c r="M1030">
        <v>3.43</v>
      </c>
    </row>
    <row r="1031" spans="1:13" x14ac:dyDescent="0.25">
      <c r="A1031">
        <v>2012</v>
      </c>
      <c r="B1031" t="s">
        <v>259</v>
      </c>
      <c r="C1031">
        <v>27163</v>
      </c>
      <c r="D1031" t="s">
        <v>278</v>
      </c>
      <c r="E1031" t="s">
        <v>261</v>
      </c>
      <c r="F1031" t="s">
        <v>262</v>
      </c>
      <c r="G1031" t="s">
        <v>267</v>
      </c>
      <c r="H1031">
        <v>27663.163155112801</v>
      </c>
      <c r="I1031" t="s">
        <v>264</v>
      </c>
      <c r="J1031" t="s">
        <v>265</v>
      </c>
      <c r="K1031">
        <v>243720</v>
      </c>
      <c r="L1031" t="s">
        <v>282</v>
      </c>
      <c r="M1031">
        <v>0.11</v>
      </c>
    </row>
    <row r="1032" spans="1:13" x14ac:dyDescent="0.25">
      <c r="A1032">
        <v>2012</v>
      </c>
      <c r="B1032" t="s">
        <v>259</v>
      </c>
      <c r="C1032">
        <v>27163</v>
      </c>
      <c r="D1032" t="s">
        <v>278</v>
      </c>
      <c r="E1032" t="s">
        <v>261</v>
      </c>
      <c r="F1032" t="s">
        <v>262</v>
      </c>
      <c r="G1032" t="s">
        <v>269</v>
      </c>
      <c r="H1032">
        <v>1202.3947730540799</v>
      </c>
      <c r="I1032" t="s">
        <v>264</v>
      </c>
      <c r="J1032" t="s">
        <v>265</v>
      </c>
      <c r="K1032">
        <v>243720</v>
      </c>
      <c r="L1032" t="s">
        <v>282</v>
      </c>
      <c r="M1032">
        <v>0</v>
      </c>
    </row>
    <row r="1033" spans="1:13" x14ac:dyDescent="0.25">
      <c r="A1033">
        <v>2012</v>
      </c>
      <c r="B1033" t="s">
        <v>259</v>
      </c>
      <c r="C1033">
        <v>27163</v>
      </c>
      <c r="D1033" t="s">
        <v>278</v>
      </c>
      <c r="E1033" t="s">
        <v>261</v>
      </c>
      <c r="F1033" t="s">
        <v>268</v>
      </c>
      <c r="G1033" t="s">
        <v>263</v>
      </c>
      <c r="H1033">
        <v>509.17358753571699</v>
      </c>
      <c r="I1033" t="s">
        <v>264</v>
      </c>
      <c r="J1033" t="s">
        <v>265</v>
      </c>
      <c r="K1033">
        <v>243720</v>
      </c>
      <c r="L1033" t="s">
        <v>282</v>
      </c>
      <c r="M1033">
        <v>0</v>
      </c>
    </row>
    <row r="1034" spans="1:13" x14ac:dyDescent="0.25">
      <c r="A1034">
        <v>2012</v>
      </c>
      <c r="B1034" t="s">
        <v>259</v>
      </c>
      <c r="C1034">
        <v>27163</v>
      </c>
      <c r="D1034" t="s">
        <v>278</v>
      </c>
      <c r="E1034" t="s">
        <v>261</v>
      </c>
      <c r="F1034" t="s">
        <v>268</v>
      </c>
      <c r="G1034" t="s">
        <v>267</v>
      </c>
      <c r="H1034">
        <v>11353.378540444901</v>
      </c>
      <c r="I1034" t="s">
        <v>264</v>
      </c>
      <c r="J1034" t="s">
        <v>265</v>
      </c>
      <c r="K1034">
        <v>243720</v>
      </c>
      <c r="L1034" t="s">
        <v>282</v>
      </c>
      <c r="M1034">
        <v>0.05</v>
      </c>
    </row>
    <row r="1035" spans="1:13" x14ac:dyDescent="0.25">
      <c r="A1035">
        <v>2012</v>
      </c>
      <c r="B1035" t="s">
        <v>259</v>
      </c>
      <c r="C1035">
        <v>27163</v>
      </c>
      <c r="D1035" t="s">
        <v>278</v>
      </c>
      <c r="E1035" t="s">
        <v>261</v>
      </c>
      <c r="F1035" t="s">
        <v>268</v>
      </c>
      <c r="G1035" t="s">
        <v>269</v>
      </c>
      <c r="H1035">
        <v>224.67254600884499</v>
      </c>
      <c r="I1035" t="s">
        <v>264</v>
      </c>
      <c r="J1035" t="s">
        <v>265</v>
      </c>
      <c r="K1035">
        <v>243720</v>
      </c>
      <c r="L1035" t="s">
        <v>282</v>
      </c>
      <c r="M1035">
        <v>0</v>
      </c>
    </row>
    <row r="1036" spans="1:13" x14ac:dyDescent="0.25">
      <c r="A1036">
        <v>2012</v>
      </c>
      <c r="B1036" t="s">
        <v>259</v>
      </c>
      <c r="C1036">
        <v>27163</v>
      </c>
      <c r="D1036" t="s">
        <v>278</v>
      </c>
      <c r="E1036" t="s">
        <v>261</v>
      </c>
      <c r="F1036" t="s">
        <v>270</v>
      </c>
      <c r="G1036" t="s">
        <v>263</v>
      </c>
      <c r="H1036">
        <v>42575.650689370799</v>
      </c>
      <c r="I1036" t="s">
        <v>264</v>
      </c>
      <c r="J1036" t="s">
        <v>265</v>
      </c>
      <c r="K1036">
        <v>243720</v>
      </c>
      <c r="L1036" t="s">
        <v>282</v>
      </c>
      <c r="M1036">
        <v>0.17</v>
      </c>
    </row>
    <row r="1037" spans="1:13" x14ac:dyDescent="0.25">
      <c r="A1037">
        <v>2012</v>
      </c>
      <c r="B1037" t="s">
        <v>259</v>
      </c>
      <c r="C1037">
        <v>27163</v>
      </c>
      <c r="D1037" t="s">
        <v>278</v>
      </c>
      <c r="E1037" t="s">
        <v>261</v>
      </c>
      <c r="F1037" t="s">
        <v>270</v>
      </c>
      <c r="G1037" t="s">
        <v>267</v>
      </c>
      <c r="H1037">
        <v>231200.75539113401</v>
      </c>
      <c r="I1037" t="s">
        <v>264</v>
      </c>
      <c r="J1037" t="s">
        <v>265</v>
      </c>
      <c r="K1037">
        <v>243720</v>
      </c>
      <c r="L1037" t="s">
        <v>282</v>
      </c>
      <c r="M1037">
        <v>0.95</v>
      </c>
    </row>
    <row r="1038" spans="1:13" x14ac:dyDescent="0.25">
      <c r="A1038">
        <v>2012</v>
      </c>
      <c r="B1038" t="s">
        <v>259</v>
      </c>
      <c r="C1038">
        <v>27163</v>
      </c>
      <c r="D1038" t="s">
        <v>278</v>
      </c>
      <c r="E1038" t="s">
        <v>261</v>
      </c>
      <c r="F1038" t="s">
        <v>270</v>
      </c>
      <c r="G1038" t="s">
        <v>269</v>
      </c>
      <c r="H1038">
        <v>87.930107232772997</v>
      </c>
      <c r="I1038" t="s">
        <v>264</v>
      </c>
      <c r="J1038" t="s">
        <v>265</v>
      </c>
      <c r="K1038">
        <v>243720</v>
      </c>
      <c r="L1038" t="s">
        <v>282</v>
      </c>
      <c r="M1038">
        <v>0</v>
      </c>
    </row>
    <row r="1039" spans="1:13" x14ac:dyDescent="0.25">
      <c r="A1039">
        <v>2012</v>
      </c>
      <c r="B1039" t="s">
        <v>259</v>
      </c>
      <c r="C1039">
        <v>55093</v>
      </c>
      <c r="D1039" t="s">
        <v>279</v>
      </c>
      <c r="E1039" t="s">
        <v>261</v>
      </c>
      <c r="F1039" t="s">
        <v>262</v>
      </c>
      <c r="G1039" t="s">
        <v>263</v>
      </c>
      <c r="H1039">
        <v>126126.183036684</v>
      </c>
      <c r="I1039" t="s">
        <v>264</v>
      </c>
      <c r="J1039" t="s">
        <v>265</v>
      </c>
      <c r="K1039">
        <v>40744</v>
      </c>
      <c r="L1039" t="s">
        <v>282</v>
      </c>
      <c r="M1039">
        <v>3.1</v>
      </c>
    </row>
    <row r="1040" spans="1:13" x14ac:dyDescent="0.25">
      <c r="A1040">
        <v>2012</v>
      </c>
      <c r="B1040" t="s">
        <v>259</v>
      </c>
      <c r="C1040">
        <v>55093</v>
      </c>
      <c r="D1040" t="s">
        <v>279</v>
      </c>
      <c r="E1040" t="s">
        <v>261</v>
      </c>
      <c r="F1040" t="s">
        <v>262</v>
      </c>
      <c r="G1040" t="s">
        <v>267</v>
      </c>
      <c r="H1040">
        <v>8021.27452238571</v>
      </c>
      <c r="I1040" t="s">
        <v>264</v>
      </c>
      <c r="J1040" t="s">
        <v>265</v>
      </c>
      <c r="K1040">
        <v>40744</v>
      </c>
      <c r="L1040" t="s">
        <v>282</v>
      </c>
      <c r="M1040">
        <v>0.2</v>
      </c>
    </row>
    <row r="1041" spans="1:13" x14ac:dyDescent="0.25">
      <c r="A1041">
        <v>2012</v>
      </c>
      <c r="B1041" t="s">
        <v>259</v>
      </c>
      <c r="C1041">
        <v>55093</v>
      </c>
      <c r="D1041" t="s">
        <v>279</v>
      </c>
      <c r="E1041" t="s">
        <v>261</v>
      </c>
      <c r="F1041" t="s">
        <v>262</v>
      </c>
      <c r="G1041" t="s">
        <v>269</v>
      </c>
      <c r="H1041">
        <v>202.062136566372</v>
      </c>
      <c r="I1041" t="s">
        <v>264</v>
      </c>
      <c r="J1041" t="s">
        <v>265</v>
      </c>
      <c r="K1041">
        <v>40744</v>
      </c>
      <c r="L1041" t="s">
        <v>282</v>
      </c>
      <c r="M1041">
        <v>0</v>
      </c>
    </row>
    <row r="1042" spans="1:13" x14ac:dyDescent="0.25">
      <c r="A1042">
        <v>2012</v>
      </c>
      <c r="B1042" t="s">
        <v>259</v>
      </c>
      <c r="C1042">
        <v>55093</v>
      </c>
      <c r="D1042" t="s">
        <v>279</v>
      </c>
      <c r="E1042" t="s">
        <v>261</v>
      </c>
      <c r="F1042" t="s">
        <v>268</v>
      </c>
      <c r="G1042" t="s">
        <v>263</v>
      </c>
      <c r="H1042">
        <v>151.55405242860601</v>
      </c>
      <c r="I1042" t="s">
        <v>264</v>
      </c>
      <c r="J1042" t="s">
        <v>265</v>
      </c>
      <c r="K1042">
        <v>40744</v>
      </c>
      <c r="L1042" t="s">
        <v>282</v>
      </c>
      <c r="M1042">
        <v>0</v>
      </c>
    </row>
    <row r="1043" spans="1:13" x14ac:dyDescent="0.25">
      <c r="A1043">
        <v>2012</v>
      </c>
      <c r="B1043" t="s">
        <v>259</v>
      </c>
      <c r="C1043">
        <v>55093</v>
      </c>
      <c r="D1043" t="s">
        <v>279</v>
      </c>
      <c r="E1043" t="s">
        <v>261</v>
      </c>
      <c r="F1043" t="s">
        <v>268</v>
      </c>
      <c r="G1043" t="s">
        <v>267</v>
      </c>
      <c r="H1043">
        <v>2200.9552282777199</v>
      </c>
      <c r="I1043" t="s">
        <v>264</v>
      </c>
      <c r="J1043" t="s">
        <v>265</v>
      </c>
      <c r="K1043">
        <v>40744</v>
      </c>
      <c r="L1043" t="s">
        <v>282</v>
      </c>
      <c r="M1043">
        <v>0.05</v>
      </c>
    </row>
    <row r="1044" spans="1:13" x14ac:dyDescent="0.25">
      <c r="A1044">
        <v>2012</v>
      </c>
      <c r="B1044" t="s">
        <v>259</v>
      </c>
      <c r="C1044">
        <v>55093</v>
      </c>
      <c r="D1044" t="s">
        <v>279</v>
      </c>
      <c r="E1044" t="s">
        <v>261</v>
      </c>
      <c r="F1044" t="s">
        <v>268</v>
      </c>
      <c r="G1044" t="s">
        <v>269</v>
      </c>
      <c r="H1044">
        <v>55.503133936994203</v>
      </c>
      <c r="I1044" t="s">
        <v>264</v>
      </c>
      <c r="J1044" t="s">
        <v>265</v>
      </c>
      <c r="K1044">
        <v>40744</v>
      </c>
      <c r="L1044" t="s">
        <v>282</v>
      </c>
      <c r="M1044">
        <v>0</v>
      </c>
    </row>
    <row r="1045" spans="1:13" x14ac:dyDescent="0.25">
      <c r="A1045">
        <v>2012</v>
      </c>
      <c r="B1045" t="s">
        <v>259</v>
      </c>
      <c r="C1045">
        <v>55093</v>
      </c>
      <c r="D1045" t="s">
        <v>279</v>
      </c>
      <c r="E1045" t="s">
        <v>261</v>
      </c>
      <c r="F1045" t="s">
        <v>270</v>
      </c>
      <c r="G1045" t="s">
        <v>263</v>
      </c>
      <c r="H1045">
        <v>7316.0094079516903</v>
      </c>
      <c r="I1045" t="s">
        <v>264</v>
      </c>
      <c r="J1045" t="s">
        <v>265</v>
      </c>
      <c r="K1045">
        <v>40744</v>
      </c>
      <c r="L1045" t="s">
        <v>282</v>
      </c>
      <c r="M1045">
        <v>0.18</v>
      </c>
    </row>
    <row r="1046" spans="1:13" x14ac:dyDescent="0.25">
      <c r="A1046">
        <v>2012</v>
      </c>
      <c r="B1046" t="s">
        <v>259</v>
      </c>
      <c r="C1046">
        <v>55093</v>
      </c>
      <c r="D1046" t="s">
        <v>279</v>
      </c>
      <c r="E1046" t="s">
        <v>261</v>
      </c>
      <c r="F1046" t="s">
        <v>270</v>
      </c>
      <c r="G1046" t="s">
        <v>267</v>
      </c>
      <c r="H1046">
        <v>20486.2451321179</v>
      </c>
      <c r="I1046" t="s">
        <v>264</v>
      </c>
      <c r="J1046" t="s">
        <v>265</v>
      </c>
      <c r="K1046">
        <v>40744</v>
      </c>
      <c r="L1046" t="s">
        <v>282</v>
      </c>
      <c r="M1046">
        <v>0.5</v>
      </c>
    </row>
    <row r="1047" spans="1:13" x14ac:dyDescent="0.25">
      <c r="A1047">
        <v>2012</v>
      </c>
      <c r="B1047" t="s">
        <v>259</v>
      </c>
      <c r="C1047">
        <v>55093</v>
      </c>
      <c r="D1047" t="s">
        <v>279</v>
      </c>
      <c r="E1047" t="s">
        <v>261</v>
      </c>
      <c r="F1047" t="s">
        <v>270</v>
      </c>
      <c r="G1047" t="s">
        <v>269</v>
      </c>
      <c r="H1047">
        <v>15.2560162950587</v>
      </c>
      <c r="I1047" t="s">
        <v>264</v>
      </c>
      <c r="J1047" t="s">
        <v>265</v>
      </c>
      <c r="K1047">
        <v>40744</v>
      </c>
      <c r="L1047" t="s">
        <v>282</v>
      </c>
      <c r="M1047">
        <v>0</v>
      </c>
    </row>
    <row r="1048" spans="1:13" x14ac:dyDescent="0.25">
      <c r="A1048">
        <v>2012</v>
      </c>
      <c r="B1048" t="s">
        <v>259</v>
      </c>
      <c r="C1048">
        <v>55109</v>
      </c>
      <c r="D1048" t="s">
        <v>280</v>
      </c>
      <c r="E1048" t="s">
        <v>261</v>
      </c>
      <c r="F1048" t="s">
        <v>262</v>
      </c>
      <c r="G1048" t="s">
        <v>263</v>
      </c>
      <c r="H1048">
        <v>417767.09714081499</v>
      </c>
      <c r="I1048" t="s">
        <v>264</v>
      </c>
      <c r="J1048" t="s">
        <v>265</v>
      </c>
      <c r="K1048">
        <v>85075</v>
      </c>
      <c r="L1048" t="s">
        <v>282</v>
      </c>
      <c r="M1048">
        <v>4.91</v>
      </c>
    </row>
    <row r="1049" spans="1:13" x14ac:dyDescent="0.25">
      <c r="A1049">
        <v>2012</v>
      </c>
      <c r="B1049" t="s">
        <v>259</v>
      </c>
      <c r="C1049">
        <v>55109</v>
      </c>
      <c r="D1049" t="s">
        <v>280</v>
      </c>
      <c r="E1049" t="s">
        <v>261</v>
      </c>
      <c r="F1049" t="s">
        <v>262</v>
      </c>
      <c r="G1049" t="s">
        <v>267</v>
      </c>
      <c r="H1049">
        <v>26424.2759069192</v>
      </c>
      <c r="I1049" t="s">
        <v>264</v>
      </c>
      <c r="J1049" t="s">
        <v>265</v>
      </c>
      <c r="K1049">
        <v>85075</v>
      </c>
      <c r="L1049" t="s">
        <v>282</v>
      </c>
      <c r="M1049">
        <v>0.31</v>
      </c>
    </row>
    <row r="1050" spans="1:13" x14ac:dyDescent="0.25">
      <c r="A1050">
        <v>2012</v>
      </c>
      <c r="B1050" t="s">
        <v>259</v>
      </c>
      <c r="C1050">
        <v>55109</v>
      </c>
      <c r="D1050" t="s">
        <v>280</v>
      </c>
      <c r="E1050" t="s">
        <v>261</v>
      </c>
      <c r="F1050" t="s">
        <v>262</v>
      </c>
      <c r="G1050" t="s">
        <v>269</v>
      </c>
      <c r="H1050">
        <v>615.97537032841501</v>
      </c>
      <c r="I1050" t="s">
        <v>264</v>
      </c>
      <c r="J1050" t="s">
        <v>265</v>
      </c>
      <c r="K1050">
        <v>85075</v>
      </c>
      <c r="L1050" t="s">
        <v>282</v>
      </c>
      <c r="M1050">
        <v>0.01</v>
      </c>
    </row>
    <row r="1051" spans="1:13" x14ac:dyDescent="0.25">
      <c r="A1051">
        <v>2012</v>
      </c>
      <c r="B1051" t="s">
        <v>259</v>
      </c>
      <c r="C1051">
        <v>55109</v>
      </c>
      <c r="D1051" t="s">
        <v>280</v>
      </c>
      <c r="E1051" t="s">
        <v>261</v>
      </c>
      <c r="F1051" t="s">
        <v>268</v>
      </c>
      <c r="G1051" t="s">
        <v>263</v>
      </c>
      <c r="H1051">
        <v>355.97719472373802</v>
      </c>
      <c r="I1051" t="s">
        <v>264</v>
      </c>
      <c r="J1051" t="s">
        <v>265</v>
      </c>
      <c r="K1051">
        <v>85075</v>
      </c>
      <c r="L1051" t="s">
        <v>282</v>
      </c>
      <c r="M1051">
        <v>0</v>
      </c>
    </row>
    <row r="1052" spans="1:13" x14ac:dyDescent="0.25">
      <c r="A1052">
        <v>2012</v>
      </c>
      <c r="B1052" t="s">
        <v>259</v>
      </c>
      <c r="C1052">
        <v>55109</v>
      </c>
      <c r="D1052" t="s">
        <v>280</v>
      </c>
      <c r="E1052" t="s">
        <v>261</v>
      </c>
      <c r="F1052" t="s">
        <v>268</v>
      </c>
      <c r="G1052" t="s">
        <v>267</v>
      </c>
      <c r="H1052">
        <v>6962.1520800797598</v>
      </c>
      <c r="I1052" t="s">
        <v>264</v>
      </c>
      <c r="J1052" t="s">
        <v>265</v>
      </c>
      <c r="K1052">
        <v>85075</v>
      </c>
      <c r="L1052" t="s">
        <v>282</v>
      </c>
      <c r="M1052">
        <v>0.08</v>
      </c>
    </row>
    <row r="1053" spans="1:13" x14ac:dyDescent="0.25">
      <c r="A1053">
        <v>2012</v>
      </c>
      <c r="B1053" t="s">
        <v>259</v>
      </c>
      <c r="C1053">
        <v>55109</v>
      </c>
      <c r="D1053" t="s">
        <v>280</v>
      </c>
      <c r="E1053" t="s">
        <v>261</v>
      </c>
      <c r="F1053" t="s">
        <v>268</v>
      </c>
      <c r="G1053" t="s">
        <v>269</v>
      </c>
      <c r="H1053">
        <v>110.144530576352</v>
      </c>
      <c r="I1053" t="s">
        <v>264</v>
      </c>
      <c r="J1053" t="s">
        <v>265</v>
      </c>
      <c r="K1053">
        <v>85075</v>
      </c>
      <c r="L1053" t="s">
        <v>282</v>
      </c>
      <c r="M1053">
        <v>0</v>
      </c>
    </row>
    <row r="1054" spans="1:13" x14ac:dyDescent="0.25">
      <c r="A1054">
        <v>2012</v>
      </c>
      <c r="B1054" t="s">
        <v>259</v>
      </c>
      <c r="C1054">
        <v>55109</v>
      </c>
      <c r="D1054" t="s">
        <v>280</v>
      </c>
      <c r="E1054" t="s">
        <v>261</v>
      </c>
      <c r="F1054" t="s">
        <v>270</v>
      </c>
      <c r="G1054" t="s">
        <v>263</v>
      </c>
      <c r="H1054">
        <v>26040.497906283399</v>
      </c>
      <c r="I1054" t="s">
        <v>264</v>
      </c>
      <c r="J1054" t="s">
        <v>265</v>
      </c>
      <c r="K1054">
        <v>85075</v>
      </c>
      <c r="L1054" t="s">
        <v>282</v>
      </c>
      <c r="M1054">
        <v>0.31</v>
      </c>
    </row>
    <row r="1055" spans="1:13" x14ac:dyDescent="0.25">
      <c r="A1055">
        <v>2012</v>
      </c>
      <c r="B1055" t="s">
        <v>259</v>
      </c>
      <c r="C1055">
        <v>55109</v>
      </c>
      <c r="D1055" t="s">
        <v>280</v>
      </c>
      <c r="E1055" t="s">
        <v>261</v>
      </c>
      <c r="F1055" t="s">
        <v>270</v>
      </c>
      <c r="G1055" t="s">
        <v>267</v>
      </c>
      <c r="H1055">
        <v>141878.48398418</v>
      </c>
      <c r="I1055" t="s">
        <v>264</v>
      </c>
      <c r="J1055" t="s">
        <v>265</v>
      </c>
      <c r="K1055">
        <v>85075</v>
      </c>
      <c r="L1055" t="s">
        <v>282</v>
      </c>
      <c r="M1055">
        <v>1.67</v>
      </c>
    </row>
    <row r="1056" spans="1:13" x14ac:dyDescent="0.25">
      <c r="A1056">
        <v>2012</v>
      </c>
      <c r="B1056" t="s">
        <v>259</v>
      </c>
      <c r="C1056">
        <v>55109</v>
      </c>
      <c r="D1056" t="s">
        <v>280</v>
      </c>
      <c r="E1056" t="s">
        <v>261</v>
      </c>
      <c r="F1056" t="s">
        <v>270</v>
      </c>
      <c r="G1056" t="s">
        <v>269</v>
      </c>
      <c r="H1056">
        <v>53.115663221935499</v>
      </c>
      <c r="I1056" t="s">
        <v>264</v>
      </c>
      <c r="J1056" t="s">
        <v>265</v>
      </c>
      <c r="K1056">
        <v>85075</v>
      </c>
      <c r="L1056" t="s">
        <v>282</v>
      </c>
      <c r="M1056">
        <v>0</v>
      </c>
    </row>
    <row r="1057" spans="1:13" x14ac:dyDescent="0.25">
      <c r="A1057">
        <v>2013</v>
      </c>
      <c r="B1057" t="s">
        <v>259</v>
      </c>
      <c r="C1057">
        <v>27003</v>
      </c>
      <c r="D1057" t="s">
        <v>260</v>
      </c>
      <c r="E1057" t="s">
        <v>261</v>
      </c>
      <c r="F1057" t="s">
        <v>262</v>
      </c>
      <c r="G1057" t="s">
        <v>263</v>
      </c>
      <c r="H1057">
        <v>1089014.4303653799</v>
      </c>
      <c r="I1057" t="s">
        <v>264</v>
      </c>
      <c r="J1057" t="s">
        <v>265</v>
      </c>
      <c r="K1057">
        <v>339120</v>
      </c>
      <c r="L1057" t="s">
        <v>282</v>
      </c>
      <c r="M1057">
        <v>3.21</v>
      </c>
    </row>
    <row r="1058" spans="1:13" x14ac:dyDescent="0.25">
      <c r="A1058">
        <v>2013</v>
      </c>
      <c r="B1058" t="s">
        <v>259</v>
      </c>
      <c r="C1058">
        <v>27003</v>
      </c>
      <c r="D1058" t="s">
        <v>260</v>
      </c>
      <c r="E1058" t="s">
        <v>261</v>
      </c>
      <c r="F1058" t="s">
        <v>262</v>
      </c>
      <c r="G1058" t="s">
        <v>267</v>
      </c>
      <c r="H1058">
        <v>30214.865311443598</v>
      </c>
      <c r="I1058" t="s">
        <v>264</v>
      </c>
      <c r="J1058" t="s">
        <v>265</v>
      </c>
      <c r="K1058">
        <v>339120</v>
      </c>
      <c r="L1058" t="s">
        <v>282</v>
      </c>
      <c r="M1058">
        <v>0.09</v>
      </c>
    </row>
    <row r="1059" spans="1:13" x14ac:dyDescent="0.25">
      <c r="A1059">
        <v>2013</v>
      </c>
      <c r="B1059" t="s">
        <v>259</v>
      </c>
      <c r="C1059">
        <v>27003</v>
      </c>
      <c r="D1059" t="s">
        <v>260</v>
      </c>
      <c r="E1059" t="s">
        <v>261</v>
      </c>
      <c r="F1059" t="s">
        <v>262</v>
      </c>
      <c r="G1059" t="s">
        <v>269</v>
      </c>
      <c r="H1059">
        <v>1490.21431510191</v>
      </c>
      <c r="I1059" t="s">
        <v>264</v>
      </c>
      <c r="J1059" t="s">
        <v>265</v>
      </c>
      <c r="K1059">
        <v>339120</v>
      </c>
      <c r="L1059" t="s">
        <v>282</v>
      </c>
      <c r="M1059">
        <v>0</v>
      </c>
    </row>
    <row r="1060" spans="1:13" x14ac:dyDescent="0.25">
      <c r="A1060">
        <v>2013</v>
      </c>
      <c r="B1060" t="s">
        <v>259</v>
      </c>
      <c r="C1060">
        <v>27003</v>
      </c>
      <c r="D1060" t="s">
        <v>260</v>
      </c>
      <c r="E1060" t="s">
        <v>261</v>
      </c>
      <c r="F1060" t="s">
        <v>268</v>
      </c>
      <c r="G1060" t="s">
        <v>263</v>
      </c>
      <c r="H1060">
        <v>804.11320064669201</v>
      </c>
      <c r="I1060" t="s">
        <v>264</v>
      </c>
      <c r="J1060" t="s">
        <v>265</v>
      </c>
      <c r="K1060">
        <v>339120</v>
      </c>
      <c r="L1060" t="s">
        <v>282</v>
      </c>
      <c r="M1060">
        <v>0</v>
      </c>
    </row>
    <row r="1061" spans="1:13" x14ac:dyDescent="0.25">
      <c r="A1061">
        <v>2013</v>
      </c>
      <c r="B1061" t="s">
        <v>259</v>
      </c>
      <c r="C1061">
        <v>27003</v>
      </c>
      <c r="D1061" t="s">
        <v>260</v>
      </c>
      <c r="E1061" t="s">
        <v>261</v>
      </c>
      <c r="F1061" t="s">
        <v>268</v>
      </c>
      <c r="G1061" t="s">
        <v>267</v>
      </c>
      <c r="H1061">
        <v>13575.2746335555</v>
      </c>
      <c r="I1061" t="s">
        <v>264</v>
      </c>
      <c r="J1061" t="s">
        <v>265</v>
      </c>
      <c r="K1061">
        <v>339120</v>
      </c>
      <c r="L1061" t="s">
        <v>282</v>
      </c>
      <c r="M1061">
        <v>0.04</v>
      </c>
    </row>
    <row r="1062" spans="1:13" x14ac:dyDescent="0.25">
      <c r="A1062">
        <v>2013</v>
      </c>
      <c r="B1062" t="s">
        <v>259</v>
      </c>
      <c r="C1062">
        <v>27003</v>
      </c>
      <c r="D1062" t="s">
        <v>260</v>
      </c>
      <c r="E1062" t="s">
        <v>261</v>
      </c>
      <c r="F1062" t="s">
        <v>268</v>
      </c>
      <c r="G1062" t="s">
        <v>269</v>
      </c>
      <c r="H1062">
        <v>7.6675443972467399</v>
      </c>
      <c r="I1062" t="s">
        <v>264</v>
      </c>
      <c r="J1062" t="s">
        <v>265</v>
      </c>
      <c r="K1062">
        <v>339120</v>
      </c>
      <c r="L1062" t="s">
        <v>282</v>
      </c>
      <c r="M1062">
        <v>0</v>
      </c>
    </row>
    <row r="1063" spans="1:13" x14ac:dyDescent="0.25">
      <c r="A1063">
        <v>2013</v>
      </c>
      <c r="B1063" t="s">
        <v>259</v>
      </c>
      <c r="C1063">
        <v>27003</v>
      </c>
      <c r="D1063" t="s">
        <v>260</v>
      </c>
      <c r="E1063" t="s">
        <v>261</v>
      </c>
      <c r="F1063" t="s">
        <v>270</v>
      </c>
      <c r="G1063" t="s">
        <v>263</v>
      </c>
      <c r="H1063">
        <v>79839.132450655394</v>
      </c>
      <c r="I1063" t="s">
        <v>264</v>
      </c>
      <c r="J1063" t="s">
        <v>265</v>
      </c>
      <c r="K1063">
        <v>339120</v>
      </c>
      <c r="L1063" t="s">
        <v>282</v>
      </c>
      <c r="M1063">
        <v>0.24</v>
      </c>
    </row>
    <row r="1064" spans="1:13" x14ac:dyDescent="0.25">
      <c r="A1064">
        <v>2013</v>
      </c>
      <c r="B1064" t="s">
        <v>259</v>
      </c>
      <c r="C1064">
        <v>27003</v>
      </c>
      <c r="D1064" t="s">
        <v>260</v>
      </c>
      <c r="E1064" t="s">
        <v>261</v>
      </c>
      <c r="F1064" t="s">
        <v>270</v>
      </c>
      <c r="G1064" t="s">
        <v>267</v>
      </c>
      <c r="H1064">
        <v>313347.538024201</v>
      </c>
      <c r="I1064" t="s">
        <v>264</v>
      </c>
      <c r="J1064" t="s">
        <v>265</v>
      </c>
      <c r="K1064">
        <v>339120</v>
      </c>
      <c r="L1064" t="s">
        <v>282</v>
      </c>
      <c r="M1064">
        <v>0.92</v>
      </c>
    </row>
    <row r="1065" spans="1:13" x14ac:dyDescent="0.25">
      <c r="A1065">
        <v>2013</v>
      </c>
      <c r="B1065" t="s">
        <v>259</v>
      </c>
      <c r="C1065">
        <v>27003</v>
      </c>
      <c r="D1065" t="s">
        <v>260</v>
      </c>
      <c r="E1065" t="s">
        <v>261</v>
      </c>
      <c r="F1065" t="s">
        <v>270</v>
      </c>
      <c r="G1065" t="s">
        <v>269</v>
      </c>
      <c r="H1065">
        <v>134.23601701674801</v>
      </c>
      <c r="I1065" t="s">
        <v>264</v>
      </c>
      <c r="J1065" t="s">
        <v>265</v>
      </c>
      <c r="K1065">
        <v>339120</v>
      </c>
      <c r="L1065" t="s">
        <v>282</v>
      </c>
      <c r="M1065">
        <v>0</v>
      </c>
    </row>
    <row r="1066" spans="1:13" x14ac:dyDescent="0.25">
      <c r="A1066">
        <v>2013</v>
      </c>
      <c r="B1066" t="s">
        <v>259</v>
      </c>
      <c r="C1066">
        <v>27019</v>
      </c>
      <c r="D1066" t="s">
        <v>271</v>
      </c>
      <c r="E1066" t="s">
        <v>261</v>
      </c>
      <c r="F1066" t="s">
        <v>262</v>
      </c>
      <c r="G1066" t="s">
        <v>263</v>
      </c>
      <c r="H1066">
        <v>313363.75545486697</v>
      </c>
      <c r="I1066" t="s">
        <v>264</v>
      </c>
      <c r="J1066" t="s">
        <v>265</v>
      </c>
      <c r="K1066">
        <v>95562</v>
      </c>
      <c r="L1066" t="s">
        <v>282</v>
      </c>
      <c r="M1066">
        <v>3.28</v>
      </c>
    </row>
    <row r="1067" spans="1:13" x14ac:dyDescent="0.25">
      <c r="A1067">
        <v>2013</v>
      </c>
      <c r="B1067" t="s">
        <v>259</v>
      </c>
      <c r="C1067">
        <v>27019</v>
      </c>
      <c r="D1067" t="s">
        <v>271</v>
      </c>
      <c r="E1067" t="s">
        <v>261</v>
      </c>
      <c r="F1067" t="s">
        <v>262</v>
      </c>
      <c r="G1067" t="s">
        <v>267</v>
      </c>
      <c r="H1067">
        <v>10881.9989681603</v>
      </c>
      <c r="I1067" t="s">
        <v>264</v>
      </c>
      <c r="J1067" t="s">
        <v>265</v>
      </c>
      <c r="K1067">
        <v>95562</v>
      </c>
      <c r="L1067" t="s">
        <v>282</v>
      </c>
      <c r="M1067">
        <v>0.11</v>
      </c>
    </row>
    <row r="1068" spans="1:13" x14ac:dyDescent="0.25">
      <c r="A1068">
        <v>2013</v>
      </c>
      <c r="B1068" t="s">
        <v>259</v>
      </c>
      <c r="C1068">
        <v>27019</v>
      </c>
      <c r="D1068" t="s">
        <v>271</v>
      </c>
      <c r="E1068" t="s">
        <v>261</v>
      </c>
      <c r="F1068" t="s">
        <v>262</v>
      </c>
      <c r="G1068" t="s">
        <v>269</v>
      </c>
      <c r="H1068">
        <v>472.860748812559</v>
      </c>
      <c r="I1068" t="s">
        <v>264</v>
      </c>
      <c r="J1068" t="s">
        <v>265</v>
      </c>
      <c r="K1068">
        <v>95562</v>
      </c>
      <c r="L1068" t="s">
        <v>282</v>
      </c>
      <c r="M1068">
        <v>0</v>
      </c>
    </row>
    <row r="1069" spans="1:13" x14ac:dyDescent="0.25">
      <c r="A1069">
        <v>2013</v>
      </c>
      <c r="B1069" t="s">
        <v>259</v>
      </c>
      <c r="C1069">
        <v>27019</v>
      </c>
      <c r="D1069" t="s">
        <v>271</v>
      </c>
      <c r="E1069" t="s">
        <v>261</v>
      </c>
      <c r="F1069" t="s">
        <v>268</v>
      </c>
      <c r="G1069" t="s">
        <v>263</v>
      </c>
      <c r="H1069">
        <v>500.85180112339498</v>
      </c>
      <c r="I1069" t="s">
        <v>264</v>
      </c>
      <c r="J1069" t="s">
        <v>265</v>
      </c>
      <c r="K1069">
        <v>95562</v>
      </c>
      <c r="L1069" t="s">
        <v>282</v>
      </c>
      <c r="M1069">
        <v>0.01</v>
      </c>
    </row>
    <row r="1070" spans="1:13" x14ac:dyDescent="0.25">
      <c r="A1070">
        <v>2013</v>
      </c>
      <c r="B1070" t="s">
        <v>259</v>
      </c>
      <c r="C1070">
        <v>27019</v>
      </c>
      <c r="D1070" t="s">
        <v>271</v>
      </c>
      <c r="E1070" t="s">
        <v>261</v>
      </c>
      <c r="F1070" t="s">
        <v>268</v>
      </c>
      <c r="G1070" t="s">
        <v>267</v>
      </c>
      <c r="H1070">
        <v>3567.5042076172599</v>
      </c>
      <c r="I1070" t="s">
        <v>264</v>
      </c>
      <c r="J1070" t="s">
        <v>265</v>
      </c>
      <c r="K1070">
        <v>95562</v>
      </c>
      <c r="L1070" t="s">
        <v>282</v>
      </c>
      <c r="M1070">
        <v>0.04</v>
      </c>
    </row>
    <row r="1071" spans="1:13" x14ac:dyDescent="0.25">
      <c r="A1071">
        <v>2013</v>
      </c>
      <c r="B1071" t="s">
        <v>259</v>
      </c>
      <c r="C1071">
        <v>27019</v>
      </c>
      <c r="D1071" t="s">
        <v>271</v>
      </c>
      <c r="E1071" t="s">
        <v>261</v>
      </c>
      <c r="F1071" t="s">
        <v>268</v>
      </c>
      <c r="G1071" t="s">
        <v>269</v>
      </c>
      <c r="H1071">
        <v>143.96490915082799</v>
      </c>
      <c r="I1071" t="s">
        <v>264</v>
      </c>
      <c r="J1071" t="s">
        <v>265</v>
      </c>
      <c r="K1071">
        <v>95562</v>
      </c>
      <c r="L1071" t="s">
        <v>282</v>
      </c>
      <c r="M1071">
        <v>0</v>
      </c>
    </row>
    <row r="1072" spans="1:13" x14ac:dyDescent="0.25">
      <c r="A1072">
        <v>2013</v>
      </c>
      <c r="B1072" t="s">
        <v>259</v>
      </c>
      <c r="C1072">
        <v>27019</v>
      </c>
      <c r="D1072" t="s">
        <v>271</v>
      </c>
      <c r="E1072" t="s">
        <v>261</v>
      </c>
      <c r="F1072" t="s">
        <v>270</v>
      </c>
      <c r="G1072" t="s">
        <v>263</v>
      </c>
      <c r="H1072">
        <v>16802.431784991</v>
      </c>
      <c r="I1072" t="s">
        <v>264</v>
      </c>
      <c r="J1072" t="s">
        <v>265</v>
      </c>
      <c r="K1072">
        <v>95562</v>
      </c>
      <c r="L1072" t="s">
        <v>282</v>
      </c>
      <c r="M1072">
        <v>0.18</v>
      </c>
    </row>
    <row r="1073" spans="1:13" x14ac:dyDescent="0.25">
      <c r="A1073">
        <v>2013</v>
      </c>
      <c r="B1073" t="s">
        <v>259</v>
      </c>
      <c r="C1073">
        <v>27019</v>
      </c>
      <c r="D1073" t="s">
        <v>271</v>
      </c>
      <c r="E1073" t="s">
        <v>261</v>
      </c>
      <c r="F1073" t="s">
        <v>270</v>
      </c>
      <c r="G1073" t="s">
        <v>267</v>
      </c>
      <c r="H1073">
        <v>88967.976740146507</v>
      </c>
      <c r="I1073" t="s">
        <v>264</v>
      </c>
      <c r="J1073" t="s">
        <v>265</v>
      </c>
      <c r="K1073">
        <v>95562</v>
      </c>
      <c r="L1073" t="s">
        <v>282</v>
      </c>
      <c r="M1073">
        <v>0.93</v>
      </c>
    </row>
    <row r="1074" spans="1:13" x14ac:dyDescent="0.25">
      <c r="A1074">
        <v>2013</v>
      </c>
      <c r="B1074" t="s">
        <v>259</v>
      </c>
      <c r="C1074">
        <v>27019</v>
      </c>
      <c r="D1074" t="s">
        <v>271</v>
      </c>
      <c r="E1074" t="s">
        <v>261</v>
      </c>
      <c r="F1074" t="s">
        <v>270</v>
      </c>
      <c r="G1074" t="s">
        <v>269</v>
      </c>
      <c r="H1074">
        <v>47.068043129232599</v>
      </c>
      <c r="I1074" t="s">
        <v>264</v>
      </c>
      <c r="J1074" t="s">
        <v>265</v>
      </c>
      <c r="K1074">
        <v>95562</v>
      </c>
      <c r="L1074" t="s">
        <v>282</v>
      </c>
      <c r="M1074">
        <v>0</v>
      </c>
    </row>
    <row r="1075" spans="1:13" x14ac:dyDescent="0.25">
      <c r="A1075">
        <v>2013</v>
      </c>
      <c r="B1075" t="s">
        <v>259</v>
      </c>
      <c r="C1075">
        <v>27025</v>
      </c>
      <c r="D1075" t="s">
        <v>272</v>
      </c>
      <c r="E1075" t="s">
        <v>261</v>
      </c>
      <c r="F1075" t="s">
        <v>262</v>
      </c>
      <c r="G1075" t="s">
        <v>263</v>
      </c>
      <c r="H1075">
        <v>280154.02596004598</v>
      </c>
      <c r="I1075" t="s">
        <v>264</v>
      </c>
      <c r="J1075" t="s">
        <v>265</v>
      </c>
      <c r="K1075">
        <v>53665</v>
      </c>
      <c r="L1075" t="s">
        <v>282</v>
      </c>
      <c r="M1075">
        <v>5.22</v>
      </c>
    </row>
    <row r="1076" spans="1:13" x14ac:dyDescent="0.25">
      <c r="A1076">
        <v>2013</v>
      </c>
      <c r="B1076" t="s">
        <v>259</v>
      </c>
      <c r="C1076">
        <v>27025</v>
      </c>
      <c r="D1076" t="s">
        <v>272</v>
      </c>
      <c r="E1076" t="s">
        <v>261</v>
      </c>
      <c r="F1076" t="s">
        <v>262</v>
      </c>
      <c r="G1076" t="s">
        <v>267</v>
      </c>
      <c r="H1076">
        <v>17004.224989857801</v>
      </c>
      <c r="I1076" t="s">
        <v>264</v>
      </c>
      <c r="J1076" t="s">
        <v>265</v>
      </c>
      <c r="K1076">
        <v>53665</v>
      </c>
      <c r="L1076" t="s">
        <v>282</v>
      </c>
      <c r="M1076">
        <v>0.32</v>
      </c>
    </row>
    <row r="1077" spans="1:13" x14ac:dyDescent="0.25">
      <c r="A1077">
        <v>2013</v>
      </c>
      <c r="B1077" t="s">
        <v>259</v>
      </c>
      <c r="C1077">
        <v>27025</v>
      </c>
      <c r="D1077" t="s">
        <v>272</v>
      </c>
      <c r="E1077" t="s">
        <v>261</v>
      </c>
      <c r="F1077" t="s">
        <v>262</v>
      </c>
      <c r="G1077" t="s">
        <v>269</v>
      </c>
      <c r="H1077">
        <v>463.78926210825</v>
      </c>
      <c r="I1077" t="s">
        <v>264</v>
      </c>
      <c r="J1077" t="s">
        <v>265</v>
      </c>
      <c r="K1077">
        <v>53665</v>
      </c>
      <c r="L1077" t="s">
        <v>282</v>
      </c>
      <c r="M1077">
        <v>0.01</v>
      </c>
    </row>
    <row r="1078" spans="1:13" x14ac:dyDescent="0.25">
      <c r="A1078">
        <v>2013</v>
      </c>
      <c r="B1078" t="s">
        <v>259</v>
      </c>
      <c r="C1078">
        <v>27025</v>
      </c>
      <c r="D1078" t="s">
        <v>272</v>
      </c>
      <c r="E1078" t="s">
        <v>261</v>
      </c>
      <c r="F1078" t="s">
        <v>268</v>
      </c>
      <c r="G1078" t="s">
        <v>263</v>
      </c>
      <c r="H1078">
        <v>453.50210605276101</v>
      </c>
      <c r="I1078" t="s">
        <v>264</v>
      </c>
      <c r="J1078" t="s">
        <v>265</v>
      </c>
      <c r="K1078">
        <v>53665</v>
      </c>
      <c r="L1078" t="s">
        <v>282</v>
      </c>
      <c r="M1078">
        <v>0.01</v>
      </c>
    </row>
    <row r="1079" spans="1:13" x14ac:dyDescent="0.25">
      <c r="A1079">
        <v>2013</v>
      </c>
      <c r="B1079" t="s">
        <v>259</v>
      </c>
      <c r="C1079">
        <v>27025</v>
      </c>
      <c r="D1079" t="s">
        <v>272</v>
      </c>
      <c r="E1079" t="s">
        <v>261</v>
      </c>
      <c r="F1079" t="s">
        <v>268</v>
      </c>
      <c r="G1079" t="s">
        <v>267</v>
      </c>
      <c r="H1079">
        <v>3123.7336356998098</v>
      </c>
      <c r="I1079" t="s">
        <v>264</v>
      </c>
      <c r="J1079" t="s">
        <v>265</v>
      </c>
      <c r="K1079">
        <v>53665</v>
      </c>
      <c r="L1079" t="s">
        <v>282</v>
      </c>
      <c r="M1079">
        <v>0.06</v>
      </c>
    </row>
    <row r="1080" spans="1:13" x14ac:dyDescent="0.25">
      <c r="A1080">
        <v>2013</v>
      </c>
      <c r="B1080" t="s">
        <v>259</v>
      </c>
      <c r="C1080">
        <v>27025</v>
      </c>
      <c r="D1080" t="s">
        <v>272</v>
      </c>
      <c r="E1080" t="s">
        <v>261</v>
      </c>
      <c r="F1080" t="s">
        <v>268</v>
      </c>
      <c r="G1080" t="s">
        <v>269</v>
      </c>
      <c r="H1080">
        <v>80.278169828650107</v>
      </c>
      <c r="I1080" t="s">
        <v>264</v>
      </c>
      <c r="J1080" t="s">
        <v>265</v>
      </c>
      <c r="K1080">
        <v>53665</v>
      </c>
      <c r="L1080" t="s">
        <v>282</v>
      </c>
      <c r="M1080">
        <v>0</v>
      </c>
    </row>
    <row r="1081" spans="1:13" x14ac:dyDescent="0.25">
      <c r="A1081">
        <v>2013</v>
      </c>
      <c r="B1081" t="s">
        <v>259</v>
      </c>
      <c r="C1081">
        <v>27025</v>
      </c>
      <c r="D1081" t="s">
        <v>272</v>
      </c>
      <c r="E1081" t="s">
        <v>261</v>
      </c>
      <c r="F1081" t="s">
        <v>270</v>
      </c>
      <c r="G1081" t="s">
        <v>263</v>
      </c>
      <c r="H1081">
        <v>11860.3560880148</v>
      </c>
      <c r="I1081" t="s">
        <v>264</v>
      </c>
      <c r="J1081" t="s">
        <v>265</v>
      </c>
      <c r="K1081">
        <v>53665</v>
      </c>
      <c r="L1081" t="s">
        <v>282</v>
      </c>
      <c r="M1081">
        <v>0.22</v>
      </c>
    </row>
    <row r="1082" spans="1:13" x14ac:dyDescent="0.25">
      <c r="A1082">
        <v>2013</v>
      </c>
      <c r="B1082" t="s">
        <v>259</v>
      </c>
      <c r="C1082">
        <v>27025</v>
      </c>
      <c r="D1082" t="s">
        <v>272</v>
      </c>
      <c r="E1082" t="s">
        <v>261</v>
      </c>
      <c r="F1082" t="s">
        <v>270</v>
      </c>
      <c r="G1082" t="s">
        <v>267</v>
      </c>
      <c r="H1082">
        <v>79732.807683378094</v>
      </c>
      <c r="I1082" t="s">
        <v>264</v>
      </c>
      <c r="J1082" t="s">
        <v>265</v>
      </c>
      <c r="K1082">
        <v>53665</v>
      </c>
      <c r="L1082" t="s">
        <v>282</v>
      </c>
      <c r="M1082">
        <v>1.49</v>
      </c>
    </row>
    <row r="1083" spans="1:13" x14ac:dyDescent="0.25">
      <c r="A1083">
        <v>2013</v>
      </c>
      <c r="B1083" t="s">
        <v>259</v>
      </c>
      <c r="C1083">
        <v>27025</v>
      </c>
      <c r="D1083" t="s">
        <v>272</v>
      </c>
      <c r="E1083" t="s">
        <v>261</v>
      </c>
      <c r="F1083" t="s">
        <v>270</v>
      </c>
      <c r="G1083" t="s">
        <v>269</v>
      </c>
      <c r="H1083">
        <v>27.3193949551477</v>
      </c>
      <c r="I1083" t="s">
        <v>264</v>
      </c>
      <c r="J1083" t="s">
        <v>265</v>
      </c>
      <c r="K1083">
        <v>53665</v>
      </c>
      <c r="L1083" t="s">
        <v>282</v>
      </c>
      <c r="M1083">
        <v>0</v>
      </c>
    </row>
    <row r="1084" spans="1:13" x14ac:dyDescent="0.25">
      <c r="A1084">
        <v>2013</v>
      </c>
      <c r="B1084" t="s">
        <v>259</v>
      </c>
      <c r="C1084">
        <v>27037</v>
      </c>
      <c r="D1084" t="s">
        <v>273</v>
      </c>
      <c r="E1084" t="s">
        <v>261</v>
      </c>
      <c r="F1084" t="s">
        <v>262</v>
      </c>
      <c r="G1084" t="s">
        <v>263</v>
      </c>
      <c r="H1084">
        <v>1394974.55133169</v>
      </c>
      <c r="I1084" t="s">
        <v>264</v>
      </c>
      <c r="J1084" t="s">
        <v>265</v>
      </c>
      <c r="K1084">
        <v>407974</v>
      </c>
      <c r="L1084" t="s">
        <v>282</v>
      </c>
      <c r="M1084">
        <v>3.42</v>
      </c>
    </row>
    <row r="1085" spans="1:13" x14ac:dyDescent="0.25">
      <c r="A1085">
        <v>2013</v>
      </c>
      <c r="B1085" t="s">
        <v>259</v>
      </c>
      <c r="C1085">
        <v>27037</v>
      </c>
      <c r="D1085" t="s">
        <v>273</v>
      </c>
      <c r="E1085" t="s">
        <v>261</v>
      </c>
      <c r="F1085" t="s">
        <v>262</v>
      </c>
      <c r="G1085" t="s">
        <v>267</v>
      </c>
      <c r="H1085">
        <v>27416.209170497801</v>
      </c>
      <c r="I1085" t="s">
        <v>264</v>
      </c>
      <c r="J1085" t="s">
        <v>265</v>
      </c>
      <c r="K1085">
        <v>407974</v>
      </c>
      <c r="L1085" t="s">
        <v>282</v>
      </c>
      <c r="M1085">
        <v>7.0000000000000007E-2</v>
      </c>
    </row>
    <row r="1086" spans="1:13" x14ac:dyDescent="0.25">
      <c r="A1086">
        <v>2013</v>
      </c>
      <c r="B1086" t="s">
        <v>259</v>
      </c>
      <c r="C1086">
        <v>27037</v>
      </c>
      <c r="D1086" t="s">
        <v>273</v>
      </c>
      <c r="E1086" t="s">
        <v>261</v>
      </c>
      <c r="F1086" t="s">
        <v>262</v>
      </c>
      <c r="G1086" t="s">
        <v>269</v>
      </c>
      <c r="H1086">
        <v>1867.4338162880899</v>
      </c>
      <c r="I1086" t="s">
        <v>264</v>
      </c>
      <c r="J1086" t="s">
        <v>265</v>
      </c>
      <c r="K1086">
        <v>407974</v>
      </c>
      <c r="L1086" t="s">
        <v>282</v>
      </c>
      <c r="M1086">
        <v>0</v>
      </c>
    </row>
    <row r="1087" spans="1:13" x14ac:dyDescent="0.25">
      <c r="A1087">
        <v>2013</v>
      </c>
      <c r="B1087" t="s">
        <v>259</v>
      </c>
      <c r="C1087">
        <v>27037</v>
      </c>
      <c r="D1087" t="s">
        <v>273</v>
      </c>
      <c r="E1087" t="s">
        <v>261</v>
      </c>
      <c r="F1087" t="s">
        <v>268</v>
      </c>
      <c r="G1087" t="s">
        <v>263</v>
      </c>
      <c r="H1087">
        <v>991.696477392823</v>
      </c>
      <c r="I1087" t="s">
        <v>264</v>
      </c>
      <c r="J1087" t="s">
        <v>265</v>
      </c>
      <c r="K1087">
        <v>407974</v>
      </c>
      <c r="L1087" t="s">
        <v>282</v>
      </c>
      <c r="M1087">
        <v>0</v>
      </c>
    </row>
    <row r="1088" spans="1:13" x14ac:dyDescent="0.25">
      <c r="A1088">
        <v>2013</v>
      </c>
      <c r="B1088" t="s">
        <v>259</v>
      </c>
      <c r="C1088">
        <v>27037</v>
      </c>
      <c r="D1088" t="s">
        <v>273</v>
      </c>
      <c r="E1088" t="s">
        <v>261</v>
      </c>
      <c r="F1088" t="s">
        <v>268</v>
      </c>
      <c r="G1088" t="s">
        <v>267</v>
      </c>
      <c r="H1088">
        <v>17558.337536341201</v>
      </c>
      <c r="I1088" t="s">
        <v>264</v>
      </c>
      <c r="J1088" t="s">
        <v>265</v>
      </c>
      <c r="K1088">
        <v>407974</v>
      </c>
      <c r="L1088" t="s">
        <v>282</v>
      </c>
      <c r="M1088">
        <v>0.04</v>
      </c>
    </row>
    <row r="1089" spans="1:13" x14ac:dyDescent="0.25">
      <c r="A1089">
        <v>2013</v>
      </c>
      <c r="B1089" t="s">
        <v>259</v>
      </c>
      <c r="C1089">
        <v>27037</v>
      </c>
      <c r="D1089" t="s">
        <v>273</v>
      </c>
      <c r="E1089" t="s">
        <v>261</v>
      </c>
      <c r="F1089" t="s">
        <v>268</v>
      </c>
      <c r="G1089" t="s">
        <v>269</v>
      </c>
      <c r="H1089">
        <v>50.536266429657601</v>
      </c>
      <c r="I1089" t="s">
        <v>264</v>
      </c>
      <c r="J1089" t="s">
        <v>265</v>
      </c>
      <c r="K1089">
        <v>407974</v>
      </c>
      <c r="L1089" t="s">
        <v>282</v>
      </c>
      <c r="M1089">
        <v>0</v>
      </c>
    </row>
    <row r="1090" spans="1:13" x14ac:dyDescent="0.25">
      <c r="A1090">
        <v>2013</v>
      </c>
      <c r="B1090" t="s">
        <v>259</v>
      </c>
      <c r="C1090">
        <v>27037</v>
      </c>
      <c r="D1090" t="s">
        <v>273</v>
      </c>
      <c r="E1090" t="s">
        <v>261</v>
      </c>
      <c r="F1090" t="s">
        <v>270</v>
      </c>
      <c r="G1090" t="s">
        <v>263</v>
      </c>
      <c r="H1090">
        <v>82211.147402996299</v>
      </c>
      <c r="I1090" t="s">
        <v>264</v>
      </c>
      <c r="J1090" t="s">
        <v>265</v>
      </c>
      <c r="K1090">
        <v>407974</v>
      </c>
      <c r="L1090" t="s">
        <v>282</v>
      </c>
      <c r="M1090">
        <v>0.2</v>
      </c>
    </row>
    <row r="1091" spans="1:13" x14ac:dyDescent="0.25">
      <c r="A1091">
        <v>2013</v>
      </c>
      <c r="B1091" t="s">
        <v>259</v>
      </c>
      <c r="C1091">
        <v>27037</v>
      </c>
      <c r="D1091" t="s">
        <v>273</v>
      </c>
      <c r="E1091" t="s">
        <v>261</v>
      </c>
      <c r="F1091" t="s">
        <v>270</v>
      </c>
      <c r="G1091" t="s">
        <v>267</v>
      </c>
      <c r="H1091">
        <v>406444.954908085</v>
      </c>
      <c r="I1091" t="s">
        <v>264</v>
      </c>
      <c r="J1091" t="s">
        <v>265</v>
      </c>
      <c r="K1091">
        <v>407974</v>
      </c>
      <c r="L1091" t="s">
        <v>282</v>
      </c>
      <c r="M1091">
        <v>1</v>
      </c>
    </row>
    <row r="1092" spans="1:13" x14ac:dyDescent="0.25">
      <c r="A1092">
        <v>2013</v>
      </c>
      <c r="B1092" t="s">
        <v>259</v>
      </c>
      <c r="C1092">
        <v>27037</v>
      </c>
      <c r="D1092" t="s">
        <v>273</v>
      </c>
      <c r="E1092" t="s">
        <v>261</v>
      </c>
      <c r="F1092" t="s">
        <v>270</v>
      </c>
      <c r="G1092" t="s">
        <v>269</v>
      </c>
      <c r="H1092">
        <v>202.85707965962999</v>
      </c>
      <c r="I1092" t="s">
        <v>264</v>
      </c>
      <c r="J1092" t="s">
        <v>265</v>
      </c>
      <c r="K1092">
        <v>407974</v>
      </c>
      <c r="L1092" t="s">
        <v>282</v>
      </c>
      <c r="M1092">
        <v>0</v>
      </c>
    </row>
    <row r="1093" spans="1:13" x14ac:dyDescent="0.25">
      <c r="A1093">
        <v>2013</v>
      </c>
      <c r="B1093" t="s">
        <v>259</v>
      </c>
      <c r="C1093">
        <v>27053</v>
      </c>
      <c r="D1093" t="s">
        <v>274</v>
      </c>
      <c r="E1093" t="s">
        <v>261</v>
      </c>
      <c r="F1093" t="s">
        <v>262</v>
      </c>
      <c r="G1093" t="s">
        <v>263</v>
      </c>
      <c r="H1093">
        <v>3761121.6463048798</v>
      </c>
      <c r="I1093" t="s">
        <v>264</v>
      </c>
      <c r="J1093" t="s">
        <v>265</v>
      </c>
      <c r="K1093">
        <v>1198531</v>
      </c>
      <c r="L1093" t="s">
        <v>282</v>
      </c>
      <c r="M1093">
        <v>3.14</v>
      </c>
    </row>
    <row r="1094" spans="1:13" x14ac:dyDescent="0.25">
      <c r="A1094">
        <v>2013</v>
      </c>
      <c r="B1094" t="s">
        <v>259</v>
      </c>
      <c r="C1094">
        <v>27053</v>
      </c>
      <c r="D1094" t="s">
        <v>274</v>
      </c>
      <c r="E1094" t="s">
        <v>261</v>
      </c>
      <c r="F1094" t="s">
        <v>262</v>
      </c>
      <c r="G1094" t="s">
        <v>267</v>
      </c>
      <c r="H1094">
        <v>51304.720708155997</v>
      </c>
      <c r="I1094" t="s">
        <v>264</v>
      </c>
      <c r="J1094" t="s">
        <v>265</v>
      </c>
      <c r="K1094">
        <v>1198531</v>
      </c>
      <c r="L1094" t="s">
        <v>282</v>
      </c>
      <c r="M1094">
        <v>0.04</v>
      </c>
    </row>
    <row r="1095" spans="1:13" x14ac:dyDescent="0.25">
      <c r="A1095">
        <v>2013</v>
      </c>
      <c r="B1095" t="s">
        <v>259</v>
      </c>
      <c r="C1095">
        <v>27053</v>
      </c>
      <c r="D1095" t="s">
        <v>274</v>
      </c>
      <c r="E1095" t="s">
        <v>261</v>
      </c>
      <c r="F1095" t="s">
        <v>262</v>
      </c>
      <c r="G1095" t="s">
        <v>269</v>
      </c>
      <c r="H1095">
        <v>4052.9544976939801</v>
      </c>
      <c r="I1095" t="s">
        <v>264</v>
      </c>
      <c r="J1095" t="s">
        <v>265</v>
      </c>
      <c r="K1095">
        <v>1198531</v>
      </c>
      <c r="L1095" t="s">
        <v>282</v>
      </c>
      <c r="M1095">
        <v>0</v>
      </c>
    </row>
    <row r="1096" spans="1:13" x14ac:dyDescent="0.25">
      <c r="A1096">
        <v>2013</v>
      </c>
      <c r="B1096" t="s">
        <v>259</v>
      </c>
      <c r="C1096">
        <v>27053</v>
      </c>
      <c r="D1096" t="s">
        <v>274</v>
      </c>
      <c r="E1096" t="s">
        <v>261</v>
      </c>
      <c r="F1096" t="s">
        <v>268</v>
      </c>
      <c r="G1096" t="s">
        <v>263</v>
      </c>
      <c r="H1096">
        <v>4646.2908601541703</v>
      </c>
      <c r="I1096" t="s">
        <v>264</v>
      </c>
      <c r="J1096" t="s">
        <v>265</v>
      </c>
      <c r="K1096">
        <v>1198531</v>
      </c>
      <c r="L1096" t="s">
        <v>282</v>
      </c>
      <c r="M1096">
        <v>0</v>
      </c>
    </row>
    <row r="1097" spans="1:13" x14ac:dyDescent="0.25">
      <c r="A1097">
        <v>2013</v>
      </c>
      <c r="B1097" t="s">
        <v>259</v>
      </c>
      <c r="C1097">
        <v>27053</v>
      </c>
      <c r="D1097" t="s">
        <v>274</v>
      </c>
      <c r="E1097" t="s">
        <v>261</v>
      </c>
      <c r="F1097" t="s">
        <v>268</v>
      </c>
      <c r="G1097" t="s">
        <v>267</v>
      </c>
      <c r="H1097">
        <v>48549.343081597297</v>
      </c>
      <c r="I1097" t="s">
        <v>264</v>
      </c>
      <c r="J1097" t="s">
        <v>265</v>
      </c>
      <c r="K1097">
        <v>1198531</v>
      </c>
      <c r="L1097" t="s">
        <v>282</v>
      </c>
      <c r="M1097">
        <v>0.04</v>
      </c>
    </row>
    <row r="1098" spans="1:13" x14ac:dyDescent="0.25">
      <c r="A1098">
        <v>2013</v>
      </c>
      <c r="B1098" t="s">
        <v>259</v>
      </c>
      <c r="C1098">
        <v>27053</v>
      </c>
      <c r="D1098" t="s">
        <v>274</v>
      </c>
      <c r="E1098" t="s">
        <v>261</v>
      </c>
      <c r="F1098" t="s">
        <v>268</v>
      </c>
      <c r="G1098" t="s">
        <v>269</v>
      </c>
      <c r="H1098">
        <v>9.8361955744403406</v>
      </c>
      <c r="I1098" t="s">
        <v>264</v>
      </c>
      <c r="J1098" t="s">
        <v>265</v>
      </c>
      <c r="K1098">
        <v>1198531</v>
      </c>
      <c r="L1098" t="s">
        <v>282</v>
      </c>
      <c r="M1098">
        <v>0</v>
      </c>
    </row>
    <row r="1099" spans="1:13" x14ac:dyDescent="0.25">
      <c r="A1099">
        <v>2013</v>
      </c>
      <c r="B1099" t="s">
        <v>259</v>
      </c>
      <c r="C1099">
        <v>27053</v>
      </c>
      <c r="D1099" t="s">
        <v>274</v>
      </c>
      <c r="E1099" t="s">
        <v>261</v>
      </c>
      <c r="F1099" t="s">
        <v>270</v>
      </c>
      <c r="G1099" t="s">
        <v>263</v>
      </c>
      <c r="H1099">
        <v>342178.31279605301</v>
      </c>
      <c r="I1099" t="s">
        <v>264</v>
      </c>
      <c r="J1099" t="s">
        <v>265</v>
      </c>
      <c r="K1099">
        <v>1198531</v>
      </c>
      <c r="L1099" t="s">
        <v>282</v>
      </c>
      <c r="M1099">
        <v>0.28999999999999998</v>
      </c>
    </row>
    <row r="1100" spans="1:13" x14ac:dyDescent="0.25">
      <c r="A1100">
        <v>2013</v>
      </c>
      <c r="B1100" t="s">
        <v>259</v>
      </c>
      <c r="C1100">
        <v>27053</v>
      </c>
      <c r="D1100" t="s">
        <v>274</v>
      </c>
      <c r="E1100" t="s">
        <v>261</v>
      </c>
      <c r="F1100" t="s">
        <v>270</v>
      </c>
      <c r="G1100" t="s">
        <v>267</v>
      </c>
      <c r="H1100">
        <v>1076772.3688573299</v>
      </c>
      <c r="I1100" t="s">
        <v>264</v>
      </c>
      <c r="J1100" t="s">
        <v>265</v>
      </c>
      <c r="K1100">
        <v>1198531</v>
      </c>
      <c r="L1100" t="s">
        <v>282</v>
      </c>
      <c r="M1100">
        <v>0.9</v>
      </c>
    </row>
    <row r="1101" spans="1:13" x14ac:dyDescent="0.25">
      <c r="A1101">
        <v>2013</v>
      </c>
      <c r="B1101" t="s">
        <v>259</v>
      </c>
      <c r="C1101">
        <v>27053</v>
      </c>
      <c r="D1101" t="s">
        <v>274</v>
      </c>
      <c r="E1101" t="s">
        <v>261</v>
      </c>
      <c r="F1101" t="s">
        <v>270</v>
      </c>
      <c r="G1101" t="s">
        <v>269</v>
      </c>
      <c r="H1101">
        <v>788.41010063476801</v>
      </c>
      <c r="I1101" t="s">
        <v>264</v>
      </c>
      <c r="J1101" t="s">
        <v>265</v>
      </c>
      <c r="K1101">
        <v>1198531</v>
      </c>
      <c r="L1101" t="s">
        <v>282</v>
      </c>
      <c r="M1101">
        <v>0</v>
      </c>
    </row>
    <row r="1102" spans="1:13" x14ac:dyDescent="0.25">
      <c r="A1102">
        <v>2013</v>
      </c>
      <c r="B1102" t="s">
        <v>259</v>
      </c>
      <c r="C1102">
        <v>27123</v>
      </c>
      <c r="D1102" t="s">
        <v>275</v>
      </c>
      <c r="E1102" t="s">
        <v>261</v>
      </c>
      <c r="F1102" t="s">
        <v>262</v>
      </c>
      <c r="G1102" t="s">
        <v>263</v>
      </c>
      <c r="H1102">
        <v>1585957.83488935</v>
      </c>
      <c r="I1102" t="s">
        <v>264</v>
      </c>
      <c r="J1102" t="s">
        <v>265</v>
      </c>
      <c r="K1102">
        <v>527261</v>
      </c>
      <c r="L1102" t="s">
        <v>282</v>
      </c>
      <c r="M1102">
        <v>3.01</v>
      </c>
    </row>
    <row r="1103" spans="1:13" x14ac:dyDescent="0.25">
      <c r="A1103">
        <v>2013</v>
      </c>
      <c r="B1103" t="s">
        <v>259</v>
      </c>
      <c r="C1103">
        <v>27123</v>
      </c>
      <c r="D1103" t="s">
        <v>275</v>
      </c>
      <c r="E1103" t="s">
        <v>261</v>
      </c>
      <c r="F1103" t="s">
        <v>262</v>
      </c>
      <c r="G1103" t="s">
        <v>267</v>
      </c>
      <c r="H1103">
        <v>19991.806377010202</v>
      </c>
      <c r="I1103" t="s">
        <v>264</v>
      </c>
      <c r="J1103" t="s">
        <v>265</v>
      </c>
      <c r="K1103">
        <v>527261</v>
      </c>
      <c r="L1103" t="s">
        <v>282</v>
      </c>
      <c r="M1103">
        <v>0.04</v>
      </c>
    </row>
    <row r="1104" spans="1:13" x14ac:dyDescent="0.25">
      <c r="A1104">
        <v>2013</v>
      </c>
      <c r="B1104" t="s">
        <v>259</v>
      </c>
      <c r="C1104">
        <v>27123</v>
      </c>
      <c r="D1104" t="s">
        <v>275</v>
      </c>
      <c r="E1104" t="s">
        <v>261</v>
      </c>
      <c r="F1104" t="s">
        <v>262</v>
      </c>
      <c r="G1104" t="s">
        <v>269</v>
      </c>
      <c r="H1104">
        <v>1552.88622288225</v>
      </c>
      <c r="I1104" t="s">
        <v>264</v>
      </c>
      <c r="J1104" t="s">
        <v>265</v>
      </c>
      <c r="K1104">
        <v>527261</v>
      </c>
      <c r="L1104" t="s">
        <v>282</v>
      </c>
      <c r="M1104">
        <v>0</v>
      </c>
    </row>
    <row r="1105" spans="1:13" x14ac:dyDescent="0.25">
      <c r="A1105">
        <v>2013</v>
      </c>
      <c r="B1105" t="s">
        <v>259</v>
      </c>
      <c r="C1105">
        <v>27123</v>
      </c>
      <c r="D1105" t="s">
        <v>275</v>
      </c>
      <c r="E1105" t="s">
        <v>261</v>
      </c>
      <c r="F1105" t="s">
        <v>268</v>
      </c>
      <c r="G1105" t="s">
        <v>263</v>
      </c>
      <c r="H1105">
        <v>2439.69692252809</v>
      </c>
      <c r="I1105" t="s">
        <v>264</v>
      </c>
      <c r="J1105" t="s">
        <v>265</v>
      </c>
      <c r="K1105">
        <v>527261</v>
      </c>
      <c r="L1105" t="s">
        <v>282</v>
      </c>
      <c r="M1105">
        <v>0</v>
      </c>
    </row>
    <row r="1106" spans="1:13" x14ac:dyDescent="0.25">
      <c r="A1106">
        <v>2013</v>
      </c>
      <c r="B1106" t="s">
        <v>259</v>
      </c>
      <c r="C1106">
        <v>27123</v>
      </c>
      <c r="D1106" t="s">
        <v>275</v>
      </c>
      <c r="E1106" t="s">
        <v>261</v>
      </c>
      <c r="F1106" t="s">
        <v>268</v>
      </c>
      <c r="G1106" t="s">
        <v>267</v>
      </c>
      <c r="H1106">
        <v>18582.352740290698</v>
      </c>
      <c r="I1106" t="s">
        <v>264</v>
      </c>
      <c r="J1106" t="s">
        <v>265</v>
      </c>
      <c r="K1106">
        <v>527261</v>
      </c>
      <c r="L1106" t="s">
        <v>282</v>
      </c>
      <c r="M1106">
        <v>0.04</v>
      </c>
    </row>
    <row r="1107" spans="1:13" x14ac:dyDescent="0.25">
      <c r="A1107">
        <v>2013</v>
      </c>
      <c r="B1107" t="s">
        <v>259</v>
      </c>
      <c r="C1107">
        <v>27123</v>
      </c>
      <c r="D1107" t="s">
        <v>275</v>
      </c>
      <c r="E1107" t="s">
        <v>261</v>
      </c>
      <c r="F1107" t="s">
        <v>268</v>
      </c>
      <c r="G1107" t="s">
        <v>269</v>
      </c>
      <c r="H1107">
        <v>96.777344742294403</v>
      </c>
      <c r="I1107" t="s">
        <v>264</v>
      </c>
      <c r="J1107" t="s">
        <v>265</v>
      </c>
      <c r="K1107">
        <v>527261</v>
      </c>
      <c r="L1107" t="s">
        <v>282</v>
      </c>
      <c r="M1107">
        <v>0</v>
      </c>
    </row>
    <row r="1108" spans="1:13" x14ac:dyDescent="0.25">
      <c r="A1108">
        <v>2013</v>
      </c>
      <c r="B1108" t="s">
        <v>259</v>
      </c>
      <c r="C1108">
        <v>27123</v>
      </c>
      <c r="D1108" t="s">
        <v>275</v>
      </c>
      <c r="E1108" t="s">
        <v>261</v>
      </c>
      <c r="F1108" t="s">
        <v>270</v>
      </c>
      <c r="G1108" t="s">
        <v>263</v>
      </c>
      <c r="H1108">
        <v>138513.32487866801</v>
      </c>
      <c r="I1108" t="s">
        <v>264</v>
      </c>
      <c r="J1108" t="s">
        <v>265</v>
      </c>
      <c r="K1108">
        <v>527261</v>
      </c>
      <c r="L1108" t="s">
        <v>282</v>
      </c>
      <c r="M1108">
        <v>0.26</v>
      </c>
    </row>
    <row r="1109" spans="1:13" x14ac:dyDescent="0.25">
      <c r="A1109">
        <v>2013</v>
      </c>
      <c r="B1109" t="s">
        <v>259</v>
      </c>
      <c r="C1109">
        <v>27123</v>
      </c>
      <c r="D1109" t="s">
        <v>275</v>
      </c>
      <c r="E1109" t="s">
        <v>261</v>
      </c>
      <c r="F1109" t="s">
        <v>270</v>
      </c>
      <c r="G1109" t="s">
        <v>267</v>
      </c>
      <c r="H1109">
        <v>456368.98746622697</v>
      </c>
      <c r="I1109" t="s">
        <v>264</v>
      </c>
      <c r="J1109" t="s">
        <v>265</v>
      </c>
      <c r="K1109">
        <v>527261</v>
      </c>
      <c r="L1109" t="s">
        <v>282</v>
      </c>
      <c r="M1109">
        <v>0.87</v>
      </c>
    </row>
    <row r="1110" spans="1:13" x14ac:dyDescent="0.25">
      <c r="A1110">
        <v>2013</v>
      </c>
      <c r="B1110" t="s">
        <v>259</v>
      </c>
      <c r="C1110">
        <v>27123</v>
      </c>
      <c r="D1110" t="s">
        <v>275</v>
      </c>
      <c r="E1110" t="s">
        <v>261</v>
      </c>
      <c r="F1110" t="s">
        <v>270</v>
      </c>
      <c r="G1110" t="s">
        <v>269</v>
      </c>
      <c r="H1110">
        <v>325.50694040180502</v>
      </c>
      <c r="I1110" t="s">
        <v>264</v>
      </c>
      <c r="J1110" t="s">
        <v>265</v>
      </c>
      <c r="K1110">
        <v>527261</v>
      </c>
      <c r="L1110" t="s">
        <v>282</v>
      </c>
      <c r="M1110">
        <v>0</v>
      </c>
    </row>
    <row r="1111" spans="1:13" x14ac:dyDescent="0.25">
      <c r="A1111">
        <v>2013</v>
      </c>
      <c r="B1111" t="s">
        <v>259</v>
      </c>
      <c r="C1111">
        <v>27139</v>
      </c>
      <c r="D1111" t="s">
        <v>276</v>
      </c>
      <c r="E1111" t="s">
        <v>261</v>
      </c>
      <c r="F1111" t="s">
        <v>262</v>
      </c>
      <c r="G1111" t="s">
        <v>263</v>
      </c>
      <c r="H1111">
        <v>460298.75076173502</v>
      </c>
      <c r="I1111" t="s">
        <v>264</v>
      </c>
      <c r="J1111" t="s">
        <v>265</v>
      </c>
      <c r="K1111">
        <v>137280</v>
      </c>
      <c r="L1111" t="s">
        <v>282</v>
      </c>
      <c r="M1111">
        <v>3.35</v>
      </c>
    </row>
    <row r="1112" spans="1:13" x14ac:dyDescent="0.25">
      <c r="A1112">
        <v>2013</v>
      </c>
      <c r="B1112" t="s">
        <v>259</v>
      </c>
      <c r="C1112">
        <v>27139</v>
      </c>
      <c r="D1112" t="s">
        <v>276</v>
      </c>
      <c r="E1112" t="s">
        <v>261</v>
      </c>
      <c r="F1112" t="s">
        <v>262</v>
      </c>
      <c r="G1112" t="s">
        <v>267</v>
      </c>
      <c r="H1112">
        <v>15470.227320796001</v>
      </c>
      <c r="I1112" t="s">
        <v>264</v>
      </c>
      <c r="J1112" t="s">
        <v>265</v>
      </c>
      <c r="K1112">
        <v>137280</v>
      </c>
      <c r="L1112" t="s">
        <v>282</v>
      </c>
      <c r="M1112">
        <v>0.11</v>
      </c>
    </row>
    <row r="1113" spans="1:13" x14ac:dyDescent="0.25">
      <c r="A1113">
        <v>2013</v>
      </c>
      <c r="B1113" t="s">
        <v>259</v>
      </c>
      <c r="C1113">
        <v>27139</v>
      </c>
      <c r="D1113" t="s">
        <v>276</v>
      </c>
      <c r="E1113" t="s">
        <v>261</v>
      </c>
      <c r="F1113" t="s">
        <v>262</v>
      </c>
      <c r="G1113" t="s">
        <v>269</v>
      </c>
      <c r="H1113">
        <v>711.326725723442</v>
      </c>
      <c r="I1113" t="s">
        <v>264</v>
      </c>
      <c r="J1113" t="s">
        <v>265</v>
      </c>
      <c r="K1113">
        <v>137280</v>
      </c>
      <c r="L1113" t="s">
        <v>282</v>
      </c>
      <c r="M1113">
        <v>0.01</v>
      </c>
    </row>
    <row r="1114" spans="1:13" x14ac:dyDescent="0.25">
      <c r="A1114">
        <v>2013</v>
      </c>
      <c r="B1114" t="s">
        <v>259</v>
      </c>
      <c r="C1114">
        <v>27139</v>
      </c>
      <c r="D1114" t="s">
        <v>276</v>
      </c>
      <c r="E1114" t="s">
        <v>261</v>
      </c>
      <c r="F1114" t="s">
        <v>268</v>
      </c>
      <c r="G1114" t="s">
        <v>263</v>
      </c>
      <c r="H1114">
        <v>701.13668325568403</v>
      </c>
      <c r="I1114" t="s">
        <v>264</v>
      </c>
      <c r="J1114" t="s">
        <v>265</v>
      </c>
      <c r="K1114">
        <v>137280</v>
      </c>
      <c r="L1114" t="s">
        <v>282</v>
      </c>
      <c r="M1114">
        <v>0.01</v>
      </c>
    </row>
    <row r="1115" spans="1:13" x14ac:dyDescent="0.25">
      <c r="A1115">
        <v>2013</v>
      </c>
      <c r="B1115" t="s">
        <v>259</v>
      </c>
      <c r="C1115">
        <v>27139</v>
      </c>
      <c r="D1115" t="s">
        <v>276</v>
      </c>
      <c r="E1115" t="s">
        <v>261</v>
      </c>
      <c r="F1115" t="s">
        <v>268</v>
      </c>
      <c r="G1115" t="s">
        <v>267</v>
      </c>
      <c r="H1115">
        <v>5351.0647663800301</v>
      </c>
      <c r="I1115" t="s">
        <v>264</v>
      </c>
      <c r="J1115" t="s">
        <v>265</v>
      </c>
      <c r="K1115">
        <v>137280</v>
      </c>
      <c r="L1115" t="s">
        <v>282</v>
      </c>
      <c r="M1115">
        <v>0.04</v>
      </c>
    </row>
    <row r="1116" spans="1:13" x14ac:dyDescent="0.25">
      <c r="A1116">
        <v>2013</v>
      </c>
      <c r="B1116" t="s">
        <v>259</v>
      </c>
      <c r="C1116">
        <v>27139</v>
      </c>
      <c r="D1116" t="s">
        <v>276</v>
      </c>
      <c r="E1116" t="s">
        <v>261</v>
      </c>
      <c r="F1116" t="s">
        <v>268</v>
      </c>
      <c r="G1116" t="s">
        <v>269</v>
      </c>
      <c r="H1116">
        <v>69.481729744759605</v>
      </c>
      <c r="I1116" t="s">
        <v>264</v>
      </c>
      <c r="J1116" t="s">
        <v>265</v>
      </c>
      <c r="K1116">
        <v>137280</v>
      </c>
      <c r="L1116" t="s">
        <v>282</v>
      </c>
      <c r="M1116">
        <v>0</v>
      </c>
    </row>
    <row r="1117" spans="1:13" x14ac:dyDescent="0.25">
      <c r="A1117">
        <v>2013</v>
      </c>
      <c r="B1117" t="s">
        <v>259</v>
      </c>
      <c r="C1117">
        <v>27139</v>
      </c>
      <c r="D1117" t="s">
        <v>276</v>
      </c>
      <c r="E1117" t="s">
        <v>261</v>
      </c>
      <c r="F1117" t="s">
        <v>270</v>
      </c>
      <c r="G1117" t="s">
        <v>263</v>
      </c>
      <c r="H1117">
        <v>27213.352102087101</v>
      </c>
      <c r="I1117" t="s">
        <v>264</v>
      </c>
      <c r="J1117" t="s">
        <v>265</v>
      </c>
      <c r="K1117">
        <v>137280</v>
      </c>
      <c r="L1117" t="s">
        <v>282</v>
      </c>
      <c r="M1117">
        <v>0.2</v>
      </c>
    </row>
    <row r="1118" spans="1:13" x14ac:dyDescent="0.25">
      <c r="A1118">
        <v>2013</v>
      </c>
      <c r="B1118" t="s">
        <v>259</v>
      </c>
      <c r="C1118">
        <v>27139</v>
      </c>
      <c r="D1118" t="s">
        <v>276</v>
      </c>
      <c r="E1118" t="s">
        <v>261</v>
      </c>
      <c r="F1118" t="s">
        <v>270</v>
      </c>
      <c r="G1118" t="s">
        <v>267</v>
      </c>
      <c r="H1118">
        <v>131131.41447818</v>
      </c>
      <c r="I1118" t="s">
        <v>264</v>
      </c>
      <c r="J1118" t="s">
        <v>265</v>
      </c>
      <c r="K1118">
        <v>137280</v>
      </c>
      <c r="L1118" t="s">
        <v>282</v>
      </c>
      <c r="M1118">
        <v>0.96</v>
      </c>
    </row>
    <row r="1119" spans="1:13" x14ac:dyDescent="0.25">
      <c r="A1119">
        <v>2013</v>
      </c>
      <c r="B1119" t="s">
        <v>259</v>
      </c>
      <c r="C1119">
        <v>27139</v>
      </c>
      <c r="D1119" t="s">
        <v>276</v>
      </c>
      <c r="E1119" t="s">
        <v>261</v>
      </c>
      <c r="F1119" t="s">
        <v>270</v>
      </c>
      <c r="G1119" t="s">
        <v>269</v>
      </c>
      <c r="H1119">
        <v>68.733574387051803</v>
      </c>
      <c r="I1119" t="s">
        <v>264</v>
      </c>
      <c r="J1119" t="s">
        <v>265</v>
      </c>
      <c r="K1119">
        <v>137280</v>
      </c>
      <c r="L1119" t="s">
        <v>282</v>
      </c>
      <c r="M1119">
        <v>0</v>
      </c>
    </row>
    <row r="1120" spans="1:13" x14ac:dyDescent="0.25">
      <c r="A1120">
        <v>2013</v>
      </c>
      <c r="B1120" t="s">
        <v>259</v>
      </c>
      <c r="C1120">
        <v>27141</v>
      </c>
      <c r="D1120" t="s">
        <v>277</v>
      </c>
      <c r="E1120" t="s">
        <v>261</v>
      </c>
      <c r="F1120" t="s">
        <v>262</v>
      </c>
      <c r="G1120" t="s">
        <v>263</v>
      </c>
      <c r="H1120">
        <v>299689.82001039002</v>
      </c>
      <c r="I1120" t="s">
        <v>264</v>
      </c>
      <c r="J1120" t="s">
        <v>265</v>
      </c>
      <c r="K1120">
        <v>90086</v>
      </c>
      <c r="L1120" t="s">
        <v>282</v>
      </c>
      <c r="M1120">
        <v>3.33</v>
      </c>
    </row>
    <row r="1121" spans="1:13" x14ac:dyDescent="0.25">
      <c r="A1121">
        <v>2013</v>
      </c>
      <c r="B1121" t="s">
        <v>259</v>
      </c>
      <c r="C1121">
        <v>27141</v>
      </c>
      <c r="D1121" t="s">
        <v>277</v>
      </c>
      <c r="E1121" t="s">
        <v>261</v>
      </c>
      <c r="F1121" t="s">
        <v>262</v>
      </c>
      <c r="G1121" t="s">
        <v>267</v>
      </c>
      <c r="H1121">
        <v>15738.469169034601</v>
      </c>
      <c r="I1121" t="s">
        <v>264</v>
      </c>
      <c r="J1121" t="s">
        <v>265</v>
      </c>
      <c r="K1121">
        <v>90086</v>
      </c>
      <c r="L1121" t="s">
        <v>282</v>
      </c>
      <c r="M1121">
        <v>0.17</v>
      </c>
    </row>
    <row r="1122" spans="1:13" x14ac:dyDescent="0.25">
      <c r="A1122">
        <v>2013</v>
      </c>
      <c r="B1122" t="s">
        <v>259</v>
      </c>
      <c r="C1122">
        <v>27141</v>
      </c>
      <c r="D1122" t="s">
        <v>277</v>
      </c>
      <c r="E1122" t="s">
        <v>261</v>
      </c>
      <c r="F1122" t="s">
        <v>262</v>
      </c>
      <c r="G1122" t="s">
        <v>269</v>
      </c>
      <c r="H1122">
        <v>503.35243509981501</v>
      </c>
      <c r="I1122" t="s">
        <v>264</v>
      </c>
      <c r="J1122" t="s">
        <v>265</v>
      </c>
      <c r="K1122">
        <v>90086</v>
      </c>
      <c r="L1122" t="s">
        <v>282</v>
      </c>
      <c r="M1122">
        <v>0.01</v>
      </c>
    </row>
    <row r="1123" spans="1:13" x14ac:dyDescent="0.25">
      <c r="A1123">
        <v>2013</v>
      </c>
      <c r="B1123" t="s">
        <v>259</v>
      </c>
      <c r="C1123">
        <v>27141</v>
      </c>
      <c r="D1123" t="s">
        <v>277</v>
      </c>
      <c r="E1123" t="s">
        <v>261</v>
      </c>
      <c r="F1123" t="s">
        <v>268</v>
      </c>
      <c r="G1123" t="s">
        <v>263</v>
      </c>
      <c r="H1123">
        <v>209.31414588047099</v>
      </c>
      <c r="I1123" t="s">
        <v>264</v>
      </c>
      <c r="J1123" t="s">
        <v>265</v>
      </c>
      <c r="K1123">
        <v>90086</v>
      </c>
      <c r="L1123" t="s">
        <v>282</v>
      </c>
      <c r="M1123">
        <v>0</v>
      </c>
    </row>
    <row r="1124" spans="1:13" x14ac:dyDescent="0.25">
      <c r="A1124">
        <v>2013</v>
      </c>
      <c r="B1124" t="s">
        <v>259</v>
      </c>
      <c r="C1124">
        <v>27141</v>
      </c>
      <c r="D1124" t="s">
        <v>277</v>
      </c>
      <c r="E1124" t="s">
        <v>261</v>
      </c>
      <c r="F1124" t="s">
        <v>268</v>
      </c>
      <c r="G1124" t="s">
        <v>267</v>
      </c>
      <c r="H1124">
        <v>3546.7364930259901</v>
      </c>
      <c r="I1124" t="s">
        <v>264</v>
      </c>
      <c r="J1124" t="s">
        <v>265</v>
      </c>
      <c r="K1124">
        <v>90086</v>
      </c>
      <c r="L1124" t="s">
        <v>282</v>
      </c>
      <c r="M1124">
        <v>0.04</v>
      </c>
    </row>
    <row r="1125" spans="1:13" x14ac:dyDescent="0.25">
      <c r="A1125">
        <v>2013</v>
      </c>
      <c r="B1125" t="s">
        <v>259</v>
      </c>
      <c r="C1125">
        <v>27141</v>
      </c>
      <c r="D1125" t="s">
        <v>277</v>
      </c>
      <c r="E1125" t="s">
        <v>261</v>
      </c>
      <c r="F1125" t="s">
        <v>268</v>
      </c>
      <c r="G1125" t="s">
        <v>269</v>
      </c>
      <c r="H1125">
        <v>64.870840346602407</v>
      </c>
      <c r="I1125" t="s">
        <v>264</v>
      </c>
      <c r="J1125" t="s">
        <v>265</v>
      </c>
      <c r="K1125">
        <v>90086</v>
      </c>
      <c r="L1125" t="s">
        <v>282</v>
      </c>
      <c r="M1125">
        <v>0</v>
      </c>
    </row>
    <row r="1126" spans="1:13" x14ac:dyDescent="0.25">
      <c r="A1126">
        <v>2013</v>
      </c>
      <c r="B1126" t="s">
        <v>259</v>
      </c>
      <c r="C1126">
        <v>27141</v>
      </c>
      <c r="D1126" t="s">
        <v>277</v>
      </c>
      <c r="E1126" t="s">
        <v>261</v>
      </c>
      <c r="F1126" t="s">
        <v>270</v>
      </c>
      <c r="G1126" t="s">
        <v>263</v>
      </c>
      <c r="H1126">
        <v>16433.180705638599</v>
      </c>
      <c r="I1126" t="s">
        <v>264</v>
      </c>
      <c r="J1126" t="s">
        <v>265</v>
      </c>
      <c r="K1126">
        <v>90086</v>
      </c>
      <c r="L1126" t="s">
        <v>282</v>
      </c>
      <c r="M1126">
        <v>0.18</v>
      </c>
    </row>
    <row r="1127" spans="1:13" x14ac:dyDescent="0.25">
      <c r="A1127">
        <v>2013</v>
      </c>
      <c r="B1127" t="s">
        <v>259</v>
      </c>
      <c r="C1127">
        <v>27141</v>
      </c>
      <c r="D1127" t="s">
        <v>277</v>
      </c>
      <c r="E1127" t="s">
        <v>261</v>
      </c>
      <c r="F1127" t="s">
        <v>270</v>
      </c>
      <c r="G1127" t="s">
        <v>267</v>
      </c>
      <c r="H1127">
        <v>86217.286558558102</v>
      </c>
      <c r="I1127" t="s">
        <v>264</v>
      </c>
      <c r="J1127" t="s">
        <v>265</v>
      </c>
      <c r="K1127">
        <v>90086</v>
      </c>
      <c r="L1127" t="s">
        <v>282</v>
      </c>
      <c r="M1127">
        <v>0.96</v>
      </c>
    </row>
    <row r="1128" spans="1:13" x14ac:dyDescent="0.25">
      <c r="A1128">
        <v>2013</v>
      </c>
      <c r="B1128" t="s">
        <v>259</v>
      </c>
      <c r="C1128">
        <v>27141</v>
      </c>
      <c r="D1128" t="s">
        <v>277</v>
      </c>
      <c r="E1128" t="s">
        <v>261</v>
      </c>
      <c r="F1128" t="s">
        <v>270</v>
      </c>
      <c r="G1128" t="s">
        <v>269</v>
      </c>
      <c r="H1128">
        <v>36.904067343268302</v>
      </c>
      <c r="I1128" t="s">
        <v>264</v>
      </c>
      <c r="J1128" t="s">
        <v>265</v>
      </c>
      <c r="K1128">
        <v>90086</v>
      </c>
      <c r="L1128" t="s">
        <v>282</v>
      </c>
      <c r="M1128">
        <v>0</v>
      </c>
    </row>
    <row r="1129" spans="1:13" x14ac:dyDescent="0.25">
      <c r="A1129">
        <v>2013</v>
      </c>
      <c r="B1129" t="s">
        <v>259</v>
      </c>
      <c r="C1129">
        <v>27163</v>
      </c>
      <c r="D1129" t="s">
        <v>278</v>
      </c>
      <c r="E1129" t="s">
        <v>261</v>
      </c>
      <c r="F1129" t="s">
        <v>262</v>
      </c>
      <c r="G1129" t="s">
        <v>263</v>
      </c>
      <c r="H1129">
        <v>827069.90281107998</v>
      </c>
      <c r="I1129" t="s">
        <v>264</v>
      </c>
      <c r="J1129" t="s">
        <v>265</v>
      </c>
      <c r="K1129">
        <v>246002</v>
      </c>
      <c r="L1129" t="s">
        <v>282</v>
      </c>
      <c r="M1129">
        <v>3.36</v>
      </c>
    </row>
    <row r="1130" spans="1:13" x14ac:dyDescent="0.25">
      <c r="A1130">
        <v>2013</v>
      </c>
      <c r="B1130" t="s">
        <v>259</v>
      </c>
      <c r="C1130">
        <v>27163</v>
      </c>
      <c r="D1130" t="s">
        <v>278</v>
      </c>
      <c r="E1130" t="s">
        <v>261</v>
      </c>
      <c r="F1130" t="s">
        <v>262</v>
      </c>
      <c r="G1130" t="s">
        <v>267</v>
      </c>
      <c r="H1130">
        <v>22659.650239616702</v>
      </c>
      <c r="I1130" t="s">
        <v>264</v>
      </c>
      <c r="J1130" t="s">
        <v>265</v>
      </c>
      <c r="K1130">
        <v>246002</v>
      </c>
      <c r="L1130" t="s">
        <v>282</v>
      </c>
      <c r="M1130">
        <v>0.09</v>
      </c>
    </row>
    <row r="1131" spans="1:13" x14ac:dyDescent="0.25">
      <c r="A1131">
        <v>2013</v>
      </c>
      <c r="B1131" t="s">
        <v>259</v>
      </c>
      <c r="C1131">
        <v>27163</v>
      </c>
      <c r="D1131" t="s">
        <v>278</v>
      </c>
      <c r="E1131" t="s">
        <v>261</v>
      </c>
      <c r="F1131" t="s">
        <v>262</v>
      </c>
      <c r="G1131" t="s">
        <v>269</v>
      </c>
      <c r="H1131">
        <v>1169.30154712533</v>
      </c>
      <c r="I1131" t="s">
        <v>264</v>
      </c>
      <c r="J1131" t="s">
        <v>265</v>
      </c>
      <c r="K1131">
        <v>246002</v>
      </c>
      <c r="L1131" t="s">
        <v>282</v>
      </c>
      <c r="M1131">
        <v>0</v>
      </c>
    </row>
    <row r="1132" spans="1:13" x14ac:dyDescent="0.25">
      <c r="A1132">
        <v>2013</v>
      </c>
      <c r="B1132" t="s">
        <v>259</v>
      </c>
      <c r="C1132">
        <v>27163</v>
      </c>
      <c r="D1132" t="s">
        <v>278</v>
      </c>
      <c r="E1132" t="s">
        <v>261</v>
      </c>
      <c r="F1132" t="s">
        <v>268</v>
      </c>
      <c r="G1132" t="s">
        <v>263</v>
      </c>
      <c r="H1132">
        <v>627.62368718530399</v>
      </c>
      <c r="I1132" t="s">
        <v>264</v>
      </c>
      <c r="J1132" t="s">
        <v>265</v>
      </c>
      <c r="K1132">
        <v>246002</v>
      </c>
      <c r="L1132" t="s">
        <v>282</v>
      </c>
      <c r="M1132">
        <v>0</v>
      </c>
    </row>
    <row r="1133" spans="1:13" x14ac:dyDescent="0.25">
      <c r="A1133">
        <v>2013</v>
      </c>
      <c r="B1133" t="s">
        <v>259</v>
      </c>
      <c r="C1133">
        <v>27163</v>
      </c>
      <c r="D1133" t="s">
        <v>278</v>
      </c>
      <c r="E1133" t="s">
        <v>261</v>
      </c>
      <c r="F1133" t="s">
        <v>268</v>
      </c>
      <c r="G1133" t="s">
        <v>267</v>
      </c>
      <c r="H1133">
        <v>10269.679297819201</v>
      </c>
      <c r="I1133" t="s">
        <v>264</v>
      </c>
      <c r="J1133" t="s">
        <v>265</v>
      </c>
      <c r="K1133">
        <v>246002</v>
      </c>
      <c r="L1133" t="s">
        <v>282</v>
      </c>
      <c r="M1133">
        <v>0.04</v>
      </c>
    </row>
    <row r="1134" spans="1:13" x14ac:dyDescent="0.25">
      <c r="A1134">
        <v>2013</v>
      </c>
      <c r="B1134" t="s">
        <v>259</v>
      </c>
      <c r="C1134">
        <v>27163</v>
      </c>
      <c r="D1134" t="s">
        <v>278</v>
      </c>
      <c r="E1134" t="s">
        <v>261</v>
      </c>
      <c r="F1134" t="s">
        <v>268</v>
      </c>
      <c r="G1134" t="s">
        <v>269</v>
      </c>
      <c r="H1134">
        <v>197.10559480661399</v>
      </c>
      <c r="I1134" t="s">
        <v>264</v>
      </c>
      <c r="J1134" t="s">
        <v>265</v>
      </c>
      <c r="K1134">
        <v>246002</v>
      </c>
      <c r="L1134" t="s">
        <v>282</v>
      </c>
      <c r="M1134">
        <v>0</v>
      </c>
    </row>
    <row r="1135" spans="1:13" x14ac:dyDescent="0.25">
      <c r="A1135">
        <v>2013</v>
      </c>
      <c r="B1135" t="s">
        <v>259</v>
      </c>
      <c r="C1135">
        <v>27163</v>
      </c>
      <c r="D1135" t="s">
        <v>278</v>
      </c>
      <c r="E1135" t="s">
        <v>261</v>
      </c>
      <c r="F1135" t="s">
        <v>270</v>
      </c>
      <c r="G1135" t="s">
        <v>263</v>
      </c>
      <c r="H1135">
        <v>39308.981877083599</v>
      </c>
      <c r="I1135" t="s">
        <v>264</v>
      </c>
      <c r="J1135" t="s">
        <v>265</v>
      </c>
      <c r="K1135">
        <v>246002</v>
      </c>
      <c r="L1135" t="s">
        <v>282</v>
      </c>
      <c r="M1135">
        <v>0.16</v>
      </c>
    </row>
    <row r="1136" spans="1:13" x14ac:dyDescent="0.25">
      <c r="A1136">
        <v>2013</v>
      </c>
      <c r="B1136" t="s">
        <v>259</v>
      </c>
      <c r="C1136">
        <v>27163</v>
      </c>
      <c r="D1136" t="s">
        <v>278</v>
      </c>
      <c r="E1136" t="s">
        <v>261</v>
      </c>
      <c r="F1136" t="s">
        <v>270</v>
      </c>
      <c r="G1136" t="s">
        <v>267</v>
      </c>
      <c r="H1136">
        <v>238281.77510185901</v>
      </c>
      <c r="I1136" t="s">
        <v>264</v>
      </c>
      <c r="J1136" t="s">
        <v>265</v>
      </c>
      <c r="K1136">
        <v>246002</v>
      </c>
      <c r="L1136" t="s">
        <v>282</v>
      </c>
      <c r="M1136">
        <v>0.97</v>
      </c>
    </row>
    <row r="1137" spans="1:13" x14ac:dyDescent="0.25">
      <c r="A1137">
        <v>2013</v>
      </c>
      <c r="B1137" t="s">
        <v>259</v>
      </c>
      <c r="C1137">
        <v>27163</v>
      </c>
      <c r="D1137" t="s">
        <v>278</v>
      </c>
      <c r="E1137" t="s">
        <v>261</v>
      </c>
      <c r="F1137" t="s">
        <v>270</v>
      </c>
      <c r="G1137" t="s">
        <v>269</v>
      </c>
      <c r="H1137">
        <v>107.480854806802</v>
      </c>
      <c r="I1137" t="s">
        <v>264</v>
      </c>
      <c r="J1137" t="s">
        <v>265</v>
      </c>
      <c r="K1137">
        <v>246002</v>
      </c>
      <c r="L1137" t="s">
        <v>282</v>
      </c>
      <c r="M1137">
        <v>0</v>
      </c>
    </row>
    <row r="1138" spans="1:13" x14ac:dyDescent="0.25">
      <c r="A1138">
        <v>2013</v>
      </c>
      <c r="B1138" t="s">
        <v>259</v>
      </c>
      <c r="C1138">
        <v>55093</v>
      </c>
      <c r="D1138" t="s">
        <v>279</v>
      </c>
      <c r="E1138" t="s">
        <v>261</v>
      </c>
      <c r="F1138" t="s">
        <v>262</v>
      </c>
      <c r="G1138" t="s">
        <v>263</v>
      </c>
      <c r="H1138">
        <v>127381.592144736</v>
      </c>
      <c r="I1138" t="s">
        <v>264</v>
      </c>
      <c r="J1138" t="s">
        <v>265</v>
      </c>
      <c r="K1138">
        <v>40845</v>
      </c>
      <c r="L1138" t="s">
        <v>282</v>
      </c>
      <c r="M1138">
        <v>3.12</v>
      </c>
    </row>
    <row r="1139" spans="1:13" x14ac:dyDescent="0.25">
      <c r="A1139">
        <v>2013</v>
      </c>
      <c r="B1139" t="s">
        <v>259</v>
      </c>
      <c r="C1139">
        <v>55093</v>
      </c>
      <c r="D1139" t="s">
        <v>279</v>
      </c>
      <c r="E1139" t="s">
        <v>261</v>
      </c>
      <c r="F1139" t="s">
        <v>262</v>
      </c>
      <c r="G1139" t="s">
        <v>267</v>
      </c>
      <c r="H1139">
        <v>7556.2862707798304</v>
      </c>
      <c r="I1139" t="s">
        <v>264</v>
      </c>
      <c r="J1139" t="s">
        <v>265</v>
      </c>
      <c r="K1139">
        <v>40845</v>
      </c>
      <c r="L1139" t="s">
        <v>282</v>
      </c>
      <c r="M1139">
        <v>0.18</v>
      </c>
    </row>
    <row r="1140" spans="1:13" x14ac:dyDescent="0.25">
      <c r="A1140">
        <v>2013</v>
      </c>
      <c r="B1140" t="s">
        <v>259</v>
      </c>
      <c r="C1140">
        <v>55093</v>
      </c>
      <c r="D1140" t="s">
        <v>279</v>
      </c>
      <c r="E1140" t="s">
        <v>261</v>
      </c>
      <c r="F1140" t="s">
        <v>262</v>
      </c>
      <c r="G1140" t="s">
        <v>269</v>
      </c>
      <c r="H1140">
        <v>210.79822283831999</v>
      </c>
      <c r="I1140" t="s">
        <v>264</v>
      </c>
      <c r="J1140" t="s">
        <v>265</v>
      </c>
      <c r="K1140">
        <v>40845</v>
      </c>
      <c r="L1140" t="s">
        <v>282</v>
      </c>
      <c r="M1140">
        <v>0.01</v>
      </c>
    </row>
    <row r="1141" spans="1:13" x14ac:dyDescent="0.25">
      <c r="A1141">
        <v>2013</v>
      </c>
      <c r="B1141" t="s">
        <v>259</v>
      </c>
      <c r="C1141">
        <v>55093</v>
      </c>
      <c r="D1141" t="s">
        <v>279</v>
      </c>
      <c r="E1141" t="s">
        <v>261</v>
      </c>
      <c r="F1141" t="s">
        <v>268</v>
      </c>
      <c r="G1141" t="s">
        <v>263</v>
      </c>
      <c r="H1141">
        <v>139.12584964677899</v>
      </c>
      <c r="I1141" t="s">
        <v>264</v>
      </c>
      <c r="J1141" t="s">
        <v>265</v>
      </c>
      <c r="K1141">
        <v>40845</v>
      </c>
      <c r="L1141" t="s">
        <v>282</v>
      </c>
      <c r="M1141">
        <v>0</v>
      </c>
    </row>
    <row r="1142" spans="1:13" x14ac:dyDescent="0.25">
      <c r="A1142">
        <v>2013</v>
      </c>
      <c r="B1142" t="s">
        <v>259</v>
      </c>
      <c r="C1142">
        <v>55093</v>
      </c>
      <c r="D1142" t="s">
        <v>279</v>
      </c>
      <c r="E1142" t="s">
        <v>261</v>
      </c>
      <c r="F1142" t="s">
        <v>268</v>
      </c>
      <c r="G1142" t="s">
        <v>267</v>
      </c>
      <c r="H1142">
        <v>2035.79474922656</v>
      </c>
      <c r="I1142" t="s">
        <v>264</v>
      </c>
      <c r="J1142" t="s">
        <v>265</v>
      </c>
      <c r="K1142">
        <v>40845</v>
      </c>
      <c r="L1142" t="s">
        <v>282</v>
      </c>
      <c r="M1142">
        <v>0.05</v>
      </c>
    </row>
    <row r="1143" spans="1:13" x14ac:dyDescent="0.25">
      <c r="A1143">
        <v>2013</v>
      </c>
      <c r="B1143" t="s">
        <v>259</v>
      </c>
      <c r="C1143">
        <v>55093</v>
      </c>
      <c r="D1143" t="s">
        <v>279</v>
      </c>
      <c r="E1143" t="s">
        <v>261</v>
      </c>
      <c r="F1143" t="s">
        <v>268</v>
      </c>
      <c r="G1143" t="s">
        <v>269</v>
      </c>
      <c r="H1143">
        <v>57.013947902346203</v>
      </c>
      <c r="I1143" t="s">
        <v>264</v>
      </c>
      <c r="J1143" t="s">
        <v>265</v>
      </c>
      <c r="K1143">
        <v>40845</v>
      </c>
      <c r="L1143" t="s">
        <v>282</v>
      </c>
      <c r="M1143">
        <v>0</v>
      </c>
    </row>
    <row r="1144" spans="1:13" x14ac:dyDescent="0.25">
      <c r="A1144">
        <v>2013</v>
      </c>
      <c r="B1144" t="s">
        <v>259</v>
      </c>
      <c r="C1144">
        <v>55093</v>
      </c>
      <c r="D1144" t="s">
        <v>279</v>
      </c>
      <c r="E1144" t="s">
        <v>261</v>
      </c>
      <c r="F1144" t="s">
        <v>270</v>
      </c>
      <c r="G1144" t="s">
        <v>263</v>
      </c>
      <c r="H1144">
        <v>6834.9174317008901</v>
      </c>
      <c r="I1144" t="s">
        <v>264</v>
      </c>
      <c r="J1144" t="s">
        <v>265</v>
      </c>
      <c r="K1144">
        <v>40845</v>
      </c>
      <c r="L1144" t="s">
        <v>282</v>
      </c>
      <c r="M1144">
        <v>0.17</v>
      </c>
    </row>
    <row r="1145" spans="1:13" x14ac:dyDescent="0.25">
      <c r="A1145">
        <v>2013</v>
      </c>
      <c r="B1145" t="s">
        <v>259</v>
      </c>
      <c r="C1145">
        <v>55093</v>
      </c>
      <c r="D1145" t="s">
        <v>279</v>
      </c>
      <c r="E1145" t="s">
        <v>261</v>
      </c>
      <c r="F1145" t="s">
        <v>270</v>
      </c>
      <c r="G1145" t="s">
        <v>267</v>
      </c>
      <c r="H1145">
        <v>21392.418304008399</v>
      </c>
      <c r="I1145" t="s">
        <v>264</v>
      </c>
      <c r="J1145" t="s">
        <v>265</v>
      </c>
      <c r="K1145">
        <v>40845</v>
      </c>
      <c r="L1145" t="s">
        <v>282</v>
      </c>
      <c r="M1145">
        <v>0.52</v>
      </c>
    </row>
    <row r="1146" spans="1:13" x14ac:dyDescent="0.25">
      <c r="A1146">
        <v>2013</v>
      </c>
      <c r="B1146" t="s">
        <v>259</v>
      </c>
      <c r="C1146">
        <v>55093</v>
      </c>
      <c r="D1146" t="s">
        <v>279</v>
      </c>
      <c r="E1146" t="s">
        <v>261</v>
      </c>
      <c r="F1146" t="s">
        <v>270</v>
      </c>
      <c r="G1146" t="s">
        <v>269</v>
      </c>
      <c r="H1146">
        <v>18.6629022494818</v>
      </c>
      <c r="I1146" t="s">
        <v>264</v>
      </c>
      <c r="J1146" t="s">
        <v>265</v>
      </c>
      <c r="K1146">
        <v>40845</v>
      </c>
      <c r="L1146" t="s">
        <v>282</v>
      </c>
      <c r="M1146">
        <v>0</v>
      </c>
    </row>
    <row r="1147" spans="1:13" x14ac:dyDescent="0.25">
      <c r="A1147">
        <v>2013</v>
      </c>
      <c r="B1147" t="s">
        <v>259</v>
      </c>
      <c r="C1147">
        <v>55109</v>
      </c>
      <c r="D1147" t="s">
        <v>280</v>
      </c>
      <c r="E1147" t="s">
        <v>261</v>
      </c>
      <c r="F1147" t="s">
        <v>262</v>
      </c>
      <c r="G1147" t="s">
        <v>263</v>
      </c>
      <c r="H1147">
        <v>403439.45230604103</v>
      </c>
      <c r="I1147" t="s">
        <v>264</v>
      </c>
      <c r="J1147" t="s">
        <v>265</v>
      </c>
      <c r="K1147">
        <v>85700</v>
      </c>
      <c r="L1147" t="s">
        <v>282</v>
      </c>
      <c r="M1147">
        <v>4.71</v>
      </c>
    </row>
    <row r="1148" spans="1:13" x14ac:dyDescent="0.25">
      <c r="A1148">
        <v>2013</v>
      </c>
      <c r="B1148" t="s">
        <v>259</v>
      </c>
      <c r="C1148">
        <v>55109</v>
      </c>
      <c r="D1148" t="s">
        <v>280</v>
      </c>
      <c r="E1148" t="s">
        <v>261</v>
      </c>
      <c r="F1148" t="s">
        <v>262</v>
      </c>
      <c r="G1148" t="s">
        <v>267</v>
      </c>
      <c r="H1148">
        <v>23209.0460570787</v>
      </c>
      <c r="I1148" t="s">
        <v>264</v>
      </c>
      <c r="J1148" t="s">
        <v>265</v>
      </c>
      <c r="K1148">
        <v>85700</v>
      </c>
      <c r="L1148" t="s">
        <v>282</v>
      </c>
      <c r="M1148">
        <v>0.27</v>
      </c>
    </row>
    <row r="1149" spans="1:13" x14ac:dyDescent="0.25">
      <c r="A1149">
        <v>2013</v>
      </c>
      <c r="B1149" t="s">
        <v>259</v>
      </c>
      <c r="C1149">
        <v>55109</v>
      </c>
      <c r="D1149" t="s">
        <v>280</v>
      </c>
      <c r="E1149" t="s">
        <v>261</v>
      </c>
      <c r="F1149" t="s">
        <v>262</v>
      </c>
      <c r="G1149" t="s">
        <v>269</v>
      </c>
      <c r="H1149">
        <v>612.68223211429597</v>
      </c>
      <c r="I1149" t="s">
        <v>264</v>
      </c>
      <c r="J1149" t="s">
        <v>265</v>
      </c>
      <c r="K1149">
        <v>85700</v>
      </c>
      <c r="L1149" t="s">
        <v>282</v>
      </c>
      <c r="M1149">
        <v>0.01</v>
      </c>
    </row>
    <row r="1150" spans="1:13" x14ac:dyDescent="0.25">
      <c r="A1150">
        <v>2013</v>
      </c>
      <c r="B1150" t="s">
        <v>259</v>
      </c>
      <c r="C1150">
        <v>55109</v>
      </c>
      <c r="D1150" t="s">
        <v>280</v>
      </c>
      <c r="E1150" t="s">
        <v>261</v>
      </c>
      <c r="F1150" t="s">
        <v>268</v>
      </c>
      <c r="G1150" t="s">
        <v>263</v>
      </c>
      <c r="H1150">
        <v>311.26896424234002</v>
      </c>
      <c r="I1150" t="s">
        <v>264</v>
      </c>
      <c r="J1150" t="s">
        <v>265</v>
      </c>
      <c r="K1150">
        <v>85700</v>
      </c>
      <c r="L1150" t="s">
        <v>282</v>
      </c>
      <c r="M1150">
        <v>0</v>
      </c>
    </row>
    <row r="1151" spans="1:13" x14ac:dyDescent="0.25">
      <c r="A1151">
        <v>2013</v>
      </c>
      <c r="B1151" t="s">
        <v>259</v>
      </c>
      <c r="C1151">
        <v>55109</v>
      </c>
      <c r="D1151" t="s">
        <v>280</v>
      </c>
      <c r="E1151" t="s">
        <v>261</v>
      </c>
      <c r="F1151" t="s">
        <v>268</v>
      </c>
      <c r="G1151" t="s">
        <v>267</v>
      </c>
      <c r="H1151">
        <v>6286.8063662247996</v>
      </c>
      <c r="I1151" t="s">
        <v>264</v>
      </c>
      <c r="J1151" t="s">
        <v>265</v>
      </c>
      <c r="K1151">
        <v>85700</v>
      </c>
      <c r="L1151" t="s">
        <v>282</v>
      </c>
      <c r="M1151">
        <v>7.0000000000000007E-2</v>
      </c>
    </row>
    <row r="1152" spans="1:13" x14ac:dyDescent="0.25">
      <c r="A1152">
        <v>2013</v>
      </c>
      <c r="B1152" t="s">
        <v>259</v>
      </c>
      <c r="C1152">
        <v>55109</v>
      </c>
      <c r="D1152" t="s">
        <v>280</v>
      </c>
      <c r="E1152" t="s">
        <v>261</v>
      </c>
      <c r="F1152" t="s">
        <v>268</v>
      </c>
      <c r="G1152" t="s">
        <v>269</v>
      </c>
      <c r="H1152">
        <v>117.46806132308799</v>
      </c>
      <c r="I1152" t="s">
        <v>264</v>
      </c>
      <c r="J1152" t="s">
        <v>265</v>
      </c>
      <c r="K1152">
        <v>85700</v>
      </c>
      <c r="L1152" t="s">
        <v>282</v>
      </c>
      <c r="M1152">
        <v>0</v>
      </c>
    </row>
    <row r="1153" spans="1:13" x14ac:dyDescent="0.25">
      <c r="A1153">
        <v>2013</v>
      </c>
      <c r="B1153" t="s">
        <v>259</v>
      </c>
      <c r="C1153">
        <v>55109</v>
      </c>
      <c r="D1153" t="s">
        <v>280</v>
      </c>
      <c r="E1153" t="s">
        <v>261</v>
      </c>
      <c r="F1153" t="s">
        <v>270</v>
      </c>
      <c r="G1153" t="s">
        <v>263</v>
      </c>
      <c r="H1153">
        <v>23374.0430475834</v>
      </c>
      <c r="I1153" t="s">
        <v>264</v>
      </c>
      <c r="J1153" t="s">
        <v>265</v>
      </c>
      <c r="K1153">
        <v>85700</v>
      </c>
      <c r="L1153" t="s">
        <v>282</v>
      </c>
      <c r="M1153">
        <v>0.27</v>
      </c>
    </row>
    <row r="1154" spans="1:13" x14ac:dyDescent="0.25">
      <c r="A1154">
        <v>2013</v>
      </c>
      <c r="B1154" t="s">
        <v>259</v>
      </c>
      <c r="C1154">
        <v>55109</v>
      </c>
      <c r="D1154" t="s">
        <v>280</v>
      </c>
      <c r="E1154" t="s">
        <v>261</v>
      </c>
      <c r="F1154" t="s">
        <v>270</v>
      </c>
      <c r="G1154" t="s">
        <v>267</v>
      </c>
      <c r="H1154">
        <v>139394.454283192</v>
      </c>
      <c r="I1154" t="s">
        <v>264</v>
      </c>
      <c r="J1154" t="s">
        <v>265</v>
      </c>
      <c r="K1154">
        <v>85700</v>
      </c>
      <c r="L1154" t="s">
        <v>282</v>
      </c>
      <c r="M1154">
        <v>1.63</v>
      </c>
    </row>
    <row r="1155" spans="1:13" x14ac:dyDescent="0.25">
      <c r="A1155">
        <v>2013</v>
      </c>
      <c r="B1155" t="s">
        <v>259</v>
      </c>
      <c r="C1155">
        <v>55109</v>
      </c>
      <c r="D1155" t="s">
        <v>280</v>
      </c>
      <c r="E1155" t="s">
        <v>261</v>
      </c>
      <c r="F1155" t="s">
        <v>270</v>
      </c>
      <c r="G1155" t="s">
        <v>269</v>
      </c>
      <c r="H1155">
        <v>58.2486613423713</v>
      </c>
      <c r="I1155" t="s">
        <v>264</v>
      </c>
      <c r="J1155" t="s">
        <v>265</v>
      </c>
      <c r="K1155">
        <v>85700</v>
      </c>
      <c r="L1155" t="s">
        <v>282</v>
      </c>
      <c r="M1155">
        <v>0</v>
      </c>
    </row>
    <row r="1156" spans="1:13" x14ac:dyDescent="0.25">
      <c r="A1156">
        <v>2014</v>
      </c>
      <c r="B1156" t="s">
        <v>259</v>
      </c>
      <c r="C1156">
        <v>27003</v>
      </c>
      <c r="D1156" t="s">
        <v>260</v>
      </c>
      <c r="E1156" t="s">
        <v>261</v>
      </c>
      <c r="F1156" t="s">
        <v>262</v>
      </c>
      <c r="G1156" t="s">
        <v>263</v>
      </c>
      <c r="H1156">
        <v>1077543.06696819</v>
      </c>
      <c r="I1156" t="s">
        <v>264</v>
      </c>
      <c r="J1156" t="s">
        <v>265</v>
      </c>
      <c r="K1156">
        <v>341923</v>
      </c>
      <c r="L1156" t="s">
        <v>282</v>
      </c>
      <c r="M1156">
        <v>3.15</v>
      </c>
    </row>
    <row r="1157" spans="1:13" x14ac:dyDescent="0.25">
      <c r="A1157">
        <v>2014</v>
      </c>
      <c r="B1157" t="s">
        <v>259</v>
      </c>
      <c r="C1157">
        <v>27003</v>
      </c>
      <c r="D1157" t="s">
        <v>260</v>
      </c>
      <c r="E1157" t="s">
        <v>261</v>
      </c>
      <c r="F1157" t="s">
        <v>262</v>
      </c>
      <c r="G1157" t="s">
        <v>267</v>
      </c>
      <c r="H1157">
        <v>29116.2195712266</v>
      </c>
      <c r="I1157" t="s">
        <v>264</v>
      </c>
      <c r="J1157" t="s">
        <v>265</v>
      </c>
      <c r="K1157">
        <v>341923</v>
      </c>
      <c r="L1157" t="s">
        <v>282</v>
      </c>
      <c r="M1157">
        <v>0.09</v>
      </c>
    </row>
    <row r="1158" spans="1:13" x14ac:dyDescent="0.25">
      <c r="A1158">
        <v>2014</v>
      </c>
      <c r="B1158" t="s">
        <v>259</v>
      </c>
      <c r="C1158">
        <v>27003</v>
      </c>
      <c r="D1158" t="s">
        <v>260</v>
      </c>
      <c r="E1158" t="s">
        <v>261</v>
      </c>
      <c r="F1158" t="s">
        <v>262</v>
      </c>
      <c r="G1158" t="s">
        <v>269</v>
      </c>
      <c r="H1158">
        <v>1615.61557087766</v>
      </c>
      <c r="I1158" t="s">
        <v>264</v>
      </c>
      <c r="J1158" t="s">
        <v>265</v>
      </c>
      <c r="K1158">
        <v>341923</v>
      </c>
      <c r="L1158" t="s">
        <v>282</v>
      </c>
      <c r="M1158">
        <v>0</v>
      </c>
    </row>
    <row r="1159" spans="1:13" x14ac:dyDescent="0.25">
      <c r="A1159">
        <v>2014</v>
      </c>
      <c r="B1159" t="s">
        <v>259</v>
      </c>
      <c r="C1159">
        <v>27003</v>
      </c>
      <c r="D1159" t="s">
        <v>260</v>
      </c>
      <c r="E1159" t="s">
        <v>261</v>
      </c>
      <c r="F1159" t="s">
        <v>268</v>
      </c>
      <c r="G1159" t="s">
        <v>263</v>
      </c>
      <c r="H1159">
        <v>880.664128765226</v>
      </c>
      <c r="I1159" t="s">
        <v>264</v>
      </c>
      <c r="J1159" t="s">
        <v>265</v>
      </c>
      <c r="K1159">
        <v>341923</v>
      </c>
      <c r="L1159" t="s">
        <v>282</v>
      </c>
      <c r="M1159">
        <v>0</v>
      </c>
    </row>
    <row r="1160" spans="1:13" x14ac:dyDescent="0.25">
      <c r="A1160">
        <v>2014</v>
      </c>
      <c r="B1160" t="s">
        <v>259</v>
      </c>
      <c r="C1160">
        <v>27003</v>
      </c>
      <c r="D1160" t="s">
        <v>260</v>
      </c>
      <c r="E1160" t="s">
        <v>261</v>
      </c>
      <c r="F1160" t="s">
        <v>268</v>
      </c>
      <c r="G1160" t="s">
        <v>267</v>
      </c>
      <c r="H1160">
        <v>14610.769765094199</v>
      </c>
      <c r="I1160" t="s">
        <v>264</v>
      </c>
      <c r="J1160" t="s">
        <v>265</v>
      </c>
      <c r="K1160">
        <v>341923</v>
      </c>
      <c r="L1160" t="s">
        <v>282</v>
      </c>
      <c r="M1160">
        <v>0.04</v>
      </c>
    </row>
    <row r="1161" spans="1:13" x14ac:dyDescent="0.25">
      <c r="A1161">
        <v>2014</v>
      </c>
      <c r="B1161" t="s">
        <v>259</v>
      </c>
      <c r="C1161">
        <v>27003</v>
      </c>
      <c r="D1161" t="s">
        <v>260</v>
      </c>
      <c r="E1161" t="s">
        <v>261</v>
      </c>
      <c r="F1161" t="s">
        <v>268</v>
      </c>
      <c r="G1161" t="s">
        <v>269</v>
      </c>
      <c r="H1161">
        <v>8.0350225032550195</v>
      </c>
      <c r="I1161" t="s">
        <v>264</v>
      </c>
      <c r="J1161" t="s">
        <v>265</v>
      </c>
      <c r="K1161">
        <v>341923</v>
      </c>
      <c r="L1161" t="s">
        <v>282</v>
      </c>
      <c r="M1161">
        <v>0</v>
      </c>
    </row>
    <row r="1162" spans="1:13" x14ac:dyDescent="0.25">
      <c r="A1162">
        <v>2014</v>
      </c>
      <c r="B1162" t="s">
        <v>259</v>
      </c>
      <c r="C1162">
        <v>27003</v>
      </c>
      <c r="D1162" t="s">
        <v>260</v>
      </c>
      <c r="E1162" t="s">
        <v>261</v>
      </c>
      <c r="F1162" t="s">
        <v>270</v>
      </c>
      <c r="G1162" t="s">
        <v>263</v>
      </c>
      <c r="H1162">
        <v>79978.646640280407</v>
      </c>
      <c r="I1162" t="s">
        <v>264</v>
      </c>
      <c r="J1162" t="s">
        <v>265</v>
      </c>
      <c r="K1162">
        <v>341923</v>
      </c>
      <c r="L1162" t="s">
        <v>282</v>
      </c>
      <c r="M1162">
        <v>0.23</v>
      </c>
    </row>
    <row r="1163" spans="1:13" x14ac:dyDescent="0.25">
      <c r="A1163">
        <v>2014</v>
      </c>
      <c r="B1163" t="s">
        <v>259</v>
      </c>
      <c r="C1163">
        <v>27003</v>
      </c>
      <c r="D1163" t="s">
        <v>260</v>
      </c>
      <c r="E1163" t="s">
        <v>261</v>
      </c>
      <c r="F1163" t="s">
        <v>270</v>
      </c>
      <c r="G1163" t="s">
        <v>267</v>
      </c>
      <c r="H1163">
        <v>312712.50382912997</v>
      </c>
      <c r="I1163" t="s">
        <v>264</v>
      </c>
      <c r="J1163" t="s">
        <v>265</v>
      </c>
      <c r="K1163">
        <v>341923</v>
      </c>
      <c r="L1163" t="s">
        <v>282</v>
      </c>
      <c r="M1163">
        <v>0.91</v>
      </c>
    </row>
    <row r="1164" spans="1:13" x14ac:dyDescent="0.25">
      <c r="A1164">
        <v>2014</v>
      </c>
      <c r="B1164" t="s">
        <v>259</v>
      </c>
      <c r="C1164">
        <v>27003</v>
      </c>
      <c r="D1164" t="s">
        <v>260</v>
      </c>
      <c r="E1164" t="s">
        <v>261</v>
      </c>
      <c r="F1164" t="s">
        <v>270</v>
      </c>
      <c r="G1164" t="s">
        <v>269</v>
      </c>
      <c r="H1164">
        <v>151.67848749409001</v>
      </c>
      <c r="I1164" t="s">
        <v>264</v>
      </c>
      <c r="J1164" t="s">
        <v>265</v>
      </c>
      <c r="K1164">
        <v>341923</v>
      </c>
      <c r="L1164" t="s">
        <v>282</v>
      </c>
      <c r="M1164">
        <v>0</v>
      </c>
    </row>
    <row r="1165" spans="1:13" x14ac:dyDescent="0.25">
      <c r="A1165">
        <v>2014</v>
      </c>
      <c r="B1165" t="s">
        <v>259</v>
      </c>
      <c r="C1165">
        <v>27019</v>
      </c>
      <c r="D1165" t="s">
        <v>271</v>
      </c>
      <c r="E1165" t="s">
        <v>261</v>
      </c>
      <c r="F1165" t="s">
        <v>262</v>
      </c>
      <c r="G1165" t="s">
        <v>263</v>
      </c>
      <c r="H1165">
        <v>310223.30683441297</v>
      </c>
      <c r="I1165" t="s">
        <v>264</v>
      </c>
      <c r="J1165" t="s">
        <v>265</v>
      </c>
      <c r="K1165">
        <v>97321</v>
      </c>
      <c r="L1165" t="s">
        <v>282</v>
      </c>
      <c r="M1165">
        <v>3.19</v>
      </c>
    </row>
    <row r="1166" spans="1:13" x14ac:dyDescent="0.25">
      <c r="A1166">
        <v>2014</v>
      </c>
      <c r="B1166" t="s">
        <v>259</v>
      </c>
      <c r="C1166">
        <v>27019</v>
      </c>
      <c r="D1166" t="s">
        <v>271</v>
      </c>
      <c r="E1166" t="s">
        <v>261</v>
      </c>
      <c r="F1166" t="s">
        <v>262</v>
      </c>
      <c r="G1166" t="s">
        <v>267</v>
      </c>
      <c r="H1166">
        <v>10493.2487029</v>
      </c>
      <c r="I1166" t="s">
        <v>264</v>
      </c>
      <c r="J1166" t="s">
        <v>265</v>
      </c>
      <c r="K1166">
        <v>97321</v>
      </c>
      <c r="L1166" t="s">
        <v>282</v>
      </c>
      <c r="M1166">
        <v>0.11</v>
      </c>
    </row>
    <row r="1167" spans="1:13" x14ac:dyDescent="0.25">
      <c r="A1167">
        <v>2014</v>
      </c>
      <c r="B1167" t="s">
        <v>259</v>
      </c>
      <c r="C1167">
        <v>27019</v>
      </c>
      <c r="D1167" t="s">
        <v>271</v>
      </c>
      <c r="E1167" t="s">
        <v>261</v>
      </c>
      <c r="F1167" t="s">
        <v>262</v>
      </c>
      <c r="G1167" t="s">
        <v>269</v>
      </c>
      <c r="H1167">
        <v>513.57003771049199</v>
      </c>
      <c r="I1167" t="s">
        <v>264</v>
      </c>
      <c r="J1167" t="s">
        <v>265</v>
      </c>
      <c r="K1167">
        <v>97321</v>
      </c>
      <c r="L1167" t="s">
        <v>282</v>
      </c>
      <c r="M1167">
        <v>0.01</v>
      </c>
    </row>
    <row r="1168" spans="1:13" x14ac:dyDescent="0.25">
      <c r="A1168">
        <v>2014</v>
      </c>
      <c r="B1168" t="s">
        <v>259</v>
      </c>
      <c r="C1168">
        <v>27019</v>
      </c>
      <c r="D1168" t="s">
        <v>271</v>
      </c>
      <c r="E1168" t="s">
        <v>261</v>
      </c>
      <c r="F1168" t="s">
        <v>268</v>
      </c>
      <c r="G1168" t="s">
        <v>263</v>
      </c>
      <c r="H1168">
        <v>514.185361647268</v>
      </c>
      <c r="I1168" t="s">
        <v>264</v>
      </c>
      <c r="J1168" t="s">
        <v>265</v>
      </c>
      <c r="K1168">
        <v>97321</v>
      </c>
      <c r="L1168" t="s">
        <v>282</v>
      </c>
      <c r="M1168">
        <v>0.01</v>
      </c>
    </row>
    <row r="1169" spans="1:13" x14ac:dyDescent="0.25">
      <c r="A1169">
        <v>2014</v>
      </c>
      <c r="B1169" t="s">
        <v>259</v>
      </c>
      <c r="C1169">
        <v>27019</v>
      </c>
      <c r="D1169" t="s">
        <v>271</v>
      </c>
      <c r="E1169" t="s">
        <v>261</v>
      </c>
      <c r="F1169" t="s">
        <v>268</v>
      </c>
      <c r="G1169" t="s">
        <v>267</v>
      </c>
      <c r="H1169">
        <v>3840.9045083239198</v>
      </c>
      <c r="I1169" t="s">
        <v>264</v>
      </c>
      <c r="J1169" t="s">
        <v>265</v>
      </c>
      <c r="K1169">
        <v>97321</v>
      </c>
      <c r="L1169" t="s">
        <v>282</v>
      </c>
      <c r="M1169">
        <v>0.04</v>
      </c>
    </row>
    <row r="1170" spans="1:13" x14ac:dyDescent="0.25">
      <c r="A1170">
        <v>2014</v>
      </c>
      <c r="B1170" t="s">
        <v>259</v>
      </c>
      <c r="C1170">
        <v>27019</v>
      </c>
      <c r="D1170" t="s">
        <v>271</v>
      </c>
      <c r="E1170" t="s">
        <v>261</v>
      </c>
      <c r="F1170" t="s">
        <v>268</v>
      </c>
      <c r="G1170" t="s">
        <v>269</v>
      </c>
      <c r="H1170">
        <v>150.89739548641001</v>
      </c>
      <c r="I1170" t="s">
        <v>264</v>
      </c>
      <c r="J1170" t="s">
        <v>265</v>
      </c>
      <c r="K1170">
        <v>97321</v>
      </c>
      <c r="L1170" t="s">
        <v>282</v>
      </c>
      <c r="M1170">
        <v>0</v>
      </c>
    </row>
    <row r="1171" spans="1:13" x14ac:dyDescent="0.25">
      <c r="A1171">
        <v>2014</v>
      </c>
      <c r="B1171" t="s">
        <v>259</v>
      </c>
      <c r="C1171">
        <v>27019</v>
      </c>
      <c r="D1171" t="s">
        <v>271</v>
      </c>
      <c r="E1171" t="s">
        <v>261</v>
      </c>
      <c r="F1171" t="s">
        <v>270</v>
      </c>
      <c r="G1171" t="s">
        <v>263</v>
      </c>
      <c r="H1171">
        <v>16838.485486444501</v>
      </c>
      <c r="I1171" t="s">
        <v>264</v>
      </c>
      <c r="J1171" t="s">
        <v>265</v>
      </c>
      <c r="K1171">
        <v>97321</v>
      </c>
      <c r="L1171" t="s">
        <v>282</v>
      </c>
      <c r="M1171">
        <v>0.17</v>
      </c>
    </row>
    <row r="1172" spans="1:13" x14ac:dyDescent="0.25">
      <c r="A1172">
        <v>2014</v>
      </c>
      <c r="B1172" t="s">
        <v>259</v>
      </c>
      <c r="C1172">
        <v>27019</v>
      </c>
      <c r="D1172" t="s">
        <v>271</v>
      </c>
      <c r="E1172" t="s">
        <v>261</v>
      </c>
      <c r="F1172" t="s">
        <v>270</v>
      </c>
      <c r="G1172" t="s">
        <v>267</v>
      </c>
      <c r="H1172">
        <v>88809.323272804904</v>
      </c>
      <c r="I1172" t="s">
        <v>264</v>
      </c>
      <c r="J1172" t="s">
        <v>265</v>
      </c>
      <c r="K1172">
        <v>97321</v>
      </c>
      <c r="L1172" t="s">
        <v>282</v>
      </c>
      <c r="M1172">
        <v>0.91</v>
      </c>
    </row>
    <row r="1173" spans="1:13" x14ac:dyDescent="0.25">
      <c r="A1173">
        <v>2014</v>
      </c>
      <c r="B1173" t="s">
        <v>259</v>
      </c>
      <c r="C1173">
        <v>27019</v>
      </c>
      <c r="D1173" t="s">
        <v>271</v>
      </c>
      <c r="E1173" t="s">
        <v>261</v>
      </c>
      <c r="F1173" t="s">
        <v>270</v>
      </c>
      <c r="G1173" t="s">
        <v>269</v>
      </c>
      <c r="H1173">
        <v>64.814293772397605</v>
      </c>
      <c r="I1173" t="s">
        <v>264</v>
      </c>
      <c r="J1173" t="s">
        <v>265</v>
      </c>
      <c r="K1173">
        <v>97321</v>
      </c>
      <c r="L1173" t="s">
        <v>282</v>
      </c>
      <c r="M1173">
        <v>0</v>
      </c>
    </row>
    <row r="1174" spans="1:13" x14ac:dyDescent="0.25">
      <c r="A1174">
        <v>2014</v>
      </c>
      <c r="B1174" t="s">
        <v>259</v>
      </c>
      <c r="C1174">
        <v>27025</v>
      </c>
      <c r="D1174" t="s">
        <v>272</v>
      </c>
      <c r="E1174" t="s">
        <v>261</v>
      </c>
      <c r="F1174" t="s">
        <v>262</v>
      </c>
      <c r="G1174" t="s">
        <v>263</v>
      </c>
      <c r="H1174">
        <v>277245.178981003</v>
      </c>
      <c r="I1174" t="s">
        <v>264</v>
      </c>
      <c r="J1174" t="s">
        <v>265</v>
      </c>
      <c r="K1174">
        <v>53808</v>
      </c>
      <c r="L1174" t="s">
        <v>282</v>
      </c>
      <c r="M1174">
        <v>5.15</v>
      </c>
    </row>
    <row r="1175" spans="1:13" x14ac:dyDescent="0.25">
      <c r="A1175">
        <v>2014</v>
      </c>
      <c r="B1175" t="s">
        <v>259</v>
      </c>
      <c r="C1175">
        <v>27025</v>
      </c>
      <c r="D1175" t="s">
        <v>272</v>
      </c>
      <c r="E1175" t="s">
        <v>261</v>
      </c>
      <c r="F1175" t="s">
        <v>262</v>
      </c>
      <c r="G1175" t="s">
        <v>267</v>
      </c>
      <c r="H1175">
        <v>16406.0430231836</v>
      </c>
      <c r="I1175" t="s">
        <v>264</v>
      </c>
      <c r="J1175" t="s">
        <v>265</v>
      </c>
      <c r="K1175">
        <v>53808</v>
      </c>
      <c r="L1175" t="s">
        <v>282</v>
      </c>
      <c r="M1175">
        <v>0.3</v>
      </c>
    </row>
    <row r="1176" spans="1:13" x14ac:dyDescent="0.25">
      <c r="A1176">
        <v>2014</v>
      </c>
      <c r="B1176" t="s">
        <v>259</v>
      </c>
      <c r="C1176">
        <v>27025</v>
      </c>
      <c r="D1176" t="s">
        <v>272</v>
      </c>
      <c r="E1176" t="s">
        <v>261</v>
      </c>
      <c r="F1176" t="s">
        <v>262</v>
      </c>
      <c r="G1176" t="s">
        <v>269</v>
      </c>
      <c r="H1176">
        <v>503.08961084189502</v>
      </c>
      <c r="I1176" t="s">
        <v>264</v>
      </c>
      <c r="J1176" t="s">
        <v>265</v>
      </c>
      <c r="K1176">
        <v>53808</v>
      </c>
      <c r="L1176" t="s">
        <v>282</v>
      </c>
      <c r="M1176">
        <v>0.01</v>
      </c>
    </row>
    <row r="1177" spans="1:13" x14ac:dyDescent="0.25">
      <c r="A1177">
        <v>2014</v>
      </c>
      <c r="B1177" t="s">
        <v>259</v>
      </c>
      <c r="C1177">
        <v>27025</v>
      </c>
      <c r="D1177" t="s">
        <v>272</v>
      </c>
      <c r="E1177" t="s">
        <v>261</v>
      </c>
      <c r="F1177" t="s">
        <v>268</v>
      </c>
      <c r="G1177" t="s">
        <v>263</v>
      </c>
      <c r="H1177">
        <v>465.23980203425299</v>
      </c>
      <c r="I1177" t="s">
        <v>264</v>
      </c>
      <c r="J1177" t="s">
        <v>265</v>
      </c>
      <c r="K1177">
        <v>53808</v>
      </c>
      <c r="L1177" t="s">
        <v>282</v>
      </c>
      <c r="M1177">
        <v>0.01</v>
      </c>
    </row>
    <row r="1178" spans="1:13" x14ac:dyDescent="0.25">
      <c r="A1178">
        <v>2014</v>
      </c>
      <c r="B1178" t="s">
        <v>259</v>
      </c>
      <c r="C1178">
        <v>27025</v>
      </c>
      <c r="D1178" t="s">
        <v>272</v>
      </c>
      <c r="E1178" t="s">
        <v>261</v>
      </c>
      <c r="F1178" t="s">
        <v>268</v>
      </c>
      <c r="G1178" t="s">
        <v>267</v>
      </c>
      <c r="H1178">
        <v>3367.8223065489501</v>
      </c>
      <c r="I1178" t="s">
        <v>264</v>
      </c>
      <c r="J1178" t="s">
        <v>265</v>
      </c>
      <c r="K1178">
        <v>53808</v>
      </c>
      <c r="L1178" t="s">
        <v>282</v>
      </c>
      <c r="M1178">
        <v>0.06</v>
      </c>
    </row>
    <row r="1179" spans="1:13" x14ac:dyDescent="0.25">
      <c r="A1179">
        <v>2014</v>
      </c>
      <c r="B1179" t="s">
        <v>259</v>
      </c>
      <c r="C1179">
        <v>27025</v>
      </c>
      <c r="D1179" t="s">
        <v>272</v>
      </c>
      <c r="E1179" t="s">
        <v>261</v>
      </c>
      <c r="F1179" t="s">
        <v>268</v>
      </c>
      <c r="G1179" t="s">
        <v>269</v>
      </c>
      <c r="H1179">
        <v>83.959041412293303</v>
      </c>
      <c r="I1179" t="s">
        <v>264</v>
      </c>
      <c r="J1179" t="s">
        <v>265</v>
      </c>
      <c r="K1179">
        <v>53808</v>
      </c>
      <c r="L1179" t="s">
        <v>282</v>
      </c>
      <c r="M1179">
        <v>0</v>
      </c>
    </row>
    <row r="1180" spans="1:13" x14ac:dyDescent="0.25">
      <c r="A1180">
        <v>2014</v>
      </c>
      <c r="B1180" t="s">
        <v>259</v>
      </c>
      <c r="C1180">
        <v>27025</v>
      </c>
      <c r="D1180" t="s">
        <v>272</v>
      </c>
      <c r="E1180" t="s">
        <v>261</v>
      </c>
      <c r="F1180" t="s">
        <v>270</v>
      </c>
      <c r="G1180" t="s">
        <v>263</v>
      </c>
      <c r="H1180">
        <v>11897.361390124301</v>
      </c>
      <c r="I1180" t="s">
        <v>264</v>
      </c>
      <c r="J1180" t="s">
        <v>265</v>
      </c>
      <c r="K1180">
        <v>53808</v>
      </c>
      <c r="L1180" t="s">
        <v>282</v>
      </c>
      <c r="M1180">
        <v>0.22</v>
      </c>
    </row>
    <row r="1181" spans="1:13" x14ac:dyDescent="0.25">
      <c r="A1181">
        <v>2014</v>
      </c>
      <c r="B1181" t="s">
        <v>259</v>
      </c>
      <c r="C1181">
        <v>27025</v>
      </c>
      <c r="D1181" t="s">
        <v>272</v>
      </c>
      <c r="E1181" t="s">
        <v>261</v>
      </c>
      <c r="F1181" t="s">
        <v>270</v>
      </c>
      <c r="G1181" t="s">
        <v>267</v>
      </c>
      <c r="H1181">
        <v>79600.668166314397</v>
      </c>
      <c r="I1181" t="s">
        <v>264</v>
      </c>
      <c r="J1181" t="s">
        <v>265</v>
      </c>
      <c r="K1181">
        <v>53808</v>
      </c>
      <c r="L1181" t="s">
        <v>282</v>
      </c>
      <c r="M1181">
        <v>1.48</v>
      </c>
    </row>
    <row r="1182" spans="1:13" x14ac:dyDescent="0.25">
      <c r="A1182">
        <v>2014</v>
      </c>
      <c r="B1182" t="s">
        <v>259</v>
      </c>
      <c r="C1182">
        <v>27025</v>
      </c>
      <c r="D1182" t="s">
        <v>272</v>
      </c>
      <c r="E1182" t="s">
        <v>261</v>
      </c>
      <c r="F1182" t="s">
        <v>270</v>
      </c>
      <c r="G1182" t="s">
        <v>269</v>
      </c>
      <c r="H1182">
        <v>36.483875518490997</v>
      </c>
      <c r="I1182" t="s">
        <v>264</v>
      </c>
      <c r="J1182" t="s">
        <v>265</v>
      </c>
      <c r="K1182">
        <v>53808</v>
      </c>
      <c r="L1182" t="s">
        <v>282</v>
      </c>
      <c r="M1182">
        <v>0</v>
      </c>
    </row>
    <row r="1183" spans="1:13" x14ac:dyDescent="0.25">
      <c r="A1183">
        <v>2014</v>
      </c>
      <c r="B1183" t="s">
        <v>259</v>
      </c>
      <c r="C1183">
        <v>27037</v>
      </c>
      <c r="D1183" t="s">
        <v>273</v>
      </c>
      <c r="E1183" t="s">
        <v>261</v>
      </c>
      <c r="F1183" t="s">
        <v>262</v>
      </c>
      <c r="G1183" t="s">
        <v>263</v>
      </c>
      <c r="H1183">
        <v>1380055.9364949099</v>
      </c>
      <c r="I1183" t="s">
        <v>264</v>
      </c>
      <c r="J1183" t="s">
        <v>265</v>
      </c>
      <c r="K1183">
        <v>411821</v>
      </c>
      <c r="L1183" t="s">
        <v>282</v>
      </c>
      <c r="M1183">
        <v>3.35</v>
      </c>
    </row>
    <row r="1184" spans="1:13" x14ac:dyDescent="0.25">
      <c r="A1184">
        <v>2014</v>
      </c>
      <c r="B1184" t="s">
        <v>259</v>
      </c>
      <c r="C1184">
        <v>27037</v>
      </c>
      <c r="D1184" t="s">
        <v>273</v>
      </c>
      <c r="E1184" t="s">
        <v>261</v>
      </c>
      <c r="F1184" t="s">
        <v>262</v>
      </c>
      <c r="G1184" t="s">
        <v>267</v>
      </c>
      <c r="H1184">
        <v>26548.5924825371</v>
      </c>
      <c r="I1184" t="s">
        <v>264</v>
      </c>
      <c r="J1184" t="s">
        <v>265</v>
      </c>
      <c r="K1184">
        <v>411821</v>
      </c>
      <c r="L1184" t="s">
        <v>282</v>
      </c>
      <c r="M1184">
        <v>0.06</v>
      </c>
    </row>
    <row r="1185" spans="1:13" x14ac:dyDescent="0.25">
      <c r="A1185">
        <v>2014</v>
      </c>
      <c r="B1185" t="s">
        <v>259</v>
      </c>
      <c r="C1185">
        <v>27037</v>
      </c>
      <c r="D1185" t="s">
        <v>273</v>
      </c>
      <c r="E1185" t="s">
        <v>261</v>
      </c>
      <c r="F1185" t="s">
        <v>262</v>
      </c>
      <c r="G1185" t="s">
        <v>269</v>
      </c>
      <c r="H1185">
        <v>2025.42054056397</v>
      </c>
      <c r="I1185" t="s">
        <v>264</v>
      </c>
      <c r="J1185" t="s">
        <v>265</v>
      </c>
      <c r="K1185">
        <v>411821</v>
      </c>
      <c r="L1185" t="s">
        <v>282</v>
      </c>
      <c r="M1185">
        <v>0</v>
      </c>
    </row>
    <row r="1186" spans="1:13" x14ac:dyDescent="0.25">
      <c r="A1186">
        <v>2014</v>
      </c>
      <c r="B1186" t="s">
        <v>259</v>
      </c>
      <c r="C1186">
        <v>27037</v>
      </c>
      <c r="D1186" t="s">
        <v>273</v>
      </c>
      <c r="E1186" t="s">
        <v>261</v>
      </c>
      <c r="F1186" t="s">
        <v>268</v>
      </c>
      <c r="G1186" t="s">
        <v>263</v>
      </c>
      <c r="H1186">
        <v>1090.41963572958</v>
      </c>
      <c r="I1186" t="s">
        <v>264</v>
      </c>
      <c r="J1186" t="s">
        <v>265</v>
      </c>
      <c r="K1186">
        <v>411821</v>
      </c>
      <c r="L1186" t="s">
        <v>282</v>
      </c>
      <c r="M1186">
        <v>0</v>
      </c>
    </row>
    <row r="1187" spans="1:13" x14ac:dyDescent="0.25">
      <c r="A1187">
        <v>2014</v>
      </c>
      <c r="B1187" t="s">
        <v>259</v>
      </c>
      <c r="C1187">
        <v>27037</v>
      </c>
      <c r="D1187" t="s">
        <v>273</v>
      </c>
      <c r="E1187" t="s">
        <v>261</v>
      </c>
      <c r="F1187" t="s">
        <v>268</v>
      </c>
      <c r="G1187" t="s">
        <v>267</v>
      </c>
      <c r="H1187">
        <v>18901.353595279801</v>
      </c>
      <c r="I1187" t="s">
        <v>264</v>
      </c>
      <c r="J1187" t="s">
        <v>265</v>
      </c>
      <c r="K1187">
        <v>411821</v>
      </c>
      <c r="L1187" t="s">
        <v>282</v>
      </c>
      <c r="M1187">
        <v>0.05</v>
      </c>
    </row>
    <row r="1188" spans="1:13" x14ac:dyDescent="0.25">
      <c r="A1188">
        <v>2014</v>
      </c>
      <c r="B1188" t="s">
        <v>259</v>
      </c>
      <c r="C1188">
        <v>27037</v>
      </c>
      <c r="D1188" t="s">
        <v>273</v>
      </c>
      <c r="E1188" t="s">
        <v>261</v>
      </c>
      <c r="F1188" t="s">
        <v>268</v>
      </c>
      <c r="G1188" t="s">
        <v>269</v>
      </c>
      <c r="H1188">
        <v>52.9520638383378</v>
      </c>
      <c r="I1188" t="s">
        <v>264</v>
      </c>
      <c r="J1188" t="s">
        <v>265</v>
      </c>
      <c r="K1188">
        <v>411821</v>
      </c>
      <c r="L1188" t="s">
        <v>282</v>
      </c>
      <c r="M1188">
        <v>0</v>
      </c>
    </row>
    <row r="1189" spans="1:13" x14ac:dyDescent="0.25">
      <c r="A1189">
        <v>2014</v>
      </c>
      <c r="B1189" t="s">
        <v>259</v>
      </c>
      <c r="C1189">
        <v>27037</v>
      </c>
      <c r="D1189" t="s">
        <v>273</v>
      </c>
      <c r="E1189" t="s">
        <v>261</v>
      </c>
      <c r="F1189" t="s">
        <v>270</v>
      </c>
      <c r="G1189" t="s">
        <v>263</v>
      </c>
      <c r="H1189">
        <v>82249.317414682504</v>
      </c>
      <c r="I1189" t="s">
        <v>264</v>
      </c>
      <c r="J1189" t="s">
        <v>265</v>
      </c>
      <c r="K1189">
        <v>411821</v>
      </c>
      <c r="L1189" t="s">
        <v>282</v>
      </c>
      <c r="M1189">
        <v>0.2</v>
      </c>
    </row>
    <row r="1190" spans="1:13" x14ac:dyDescent="0.25">
      <c r="A1190">
        <v>2014</v>
      </c>
      <c r="B1190" t="s">
        <v>259</v>
      </c>
      <c r="C1190">
        <v>27037</v>
      </c>
      <c r="D1190" t="s">
        <v>273</v>
      </c>
      <c r="E1190" t="s">
        <v>261</v>
      </c>
      <c r="F1190" t="s">
        <v>270</v>
      </c>
      <c r="G1190" t="s">
        <v>267</v>
      </c>
      <c r="H1190">
        <v>405839.64370594599</v>
      </c>
      <c r="I1190" t="s">
        <v>264</v>
      </c>
      <c r="J1190" t="s">
        <v>265</v>
      </c>
      <c r="K1190">
        <v>411821</v>
      </c>
      <c r="L1190" t="s">
        <v>282</v>
      </c>
      <c r="M1190">
        <v>0.99</v>
      </c>
    </row>
    <row r="1191" spans="1:13" x14ac:dyDescent="0.25">
      <c r="A1191">
        <v>2014</v>
      </c>
      <c r="B1191" t="s">
        <v>259</v>
      </c>
      <c r="C1191">
        <v>27037</v>
      </c>
      <c r="D1191" t="s">
        <v>273</v>
      </c>
      <c r="E1191" t="s">
        <v>261</v>
      </c>
      <c r="F1191" t="s">
        <v>270</v>
      </c>
      <c r="G1191" t="s">
        <v>269</v>
      </c>
      <c r="H1191">
        <v>248.186732945241</v>
      </c>
      <c r="I1191" t="s">
        <v>264</v>
      </c>
      <c r="J1191" t="s">
        <v>265</v>
      </c>
      <c r="K1191">
        <v>411821</v>
      </c>
      <c r="L1191" t="s">
        <v>282</v>
      </c>
      <c r="M1191">
        <v>0</v>
      </c>
    </row>
    <row r="1192" spans="1:13" x14ac:dyDescent="0.25">
      <c r="A1192">
        <v>2014</v>
      </c>
      <c r="B1192" t="s">
        <v>259</v>
      </c>
      <c r="C1192">
        <v>27053</v>
      </c>
      <c r="D1192" t="s">
        <v>274</v>
      </c>
      <c r="E1192" t="s">
        <v>261</v>
      </c>
      <c r="F1192" t="s">
        <v>262</v>
      </c>
      <c r="G1192" t="s">
        <v>263</v>
      </c>
      <c r="H1192">
        <v>3718623.2490081601</v>
      </c>
      <c r="I1192" t="s">
        <v>264</v>
      </c>
      <c r="J1192" t="s">
        <v>265</v>
      </c>
      <c r="K1192">
        <v>1211635</v>
      </c>
      <c r="L1192" t="s">
        <v>282</v>
      </c>
      <c r="M1192">
        <v>3.07</v>
      </c>
    </row>
    <row r="1193" spans="1:13" x14ac:dyDescent="0.25">
      <c r="A1193">
        <v>2014</v>
      </c>
      <c r="B1193" t="s">
        <v>259</v>
      </c>
      <c r="C1193">
        <v>27053</v>
      </c>
      <c r="D1193" t="s">
        <v>274</v>
      </c>
      <c r="E1193" t="s">
        <v>261</v>
      </c>
      <c r="F1193" t="s">
        <v>262</v>
      </c>
      <c r="G1193" t="s">
        <v>267</v>
      </c>
      <c r="H1193">
        <v>49904.840903074102</v>
      </c>
      <c r="I1193" t="s">
        <v>264</v>
      </c>
      <c r="J1193" t="s">
        <v>265</v>
      </c>
      <c r="K1193">
        <v>1211635</v>
      </c>
      <c r="L1193" t="s">
        <v>282</v>
      </c>
      <c r="M1193">
        <v>0.04</v>
      </c>
    </row>
    <row r="1194" spans="1:13" x14ac:dyDescent="0.25">
      <c r="A1194">
        <v>2014</v>
      </c>
      <c r="B1194" t="s">
        <v>259</v>
      </c>
      <c r="C1194">
        <v>27053</v>
      </c>
      <c r="D1194" t="s">
        <v>274</v>
      </c>
      <c r="E1194" t="s">
        <v>261</v>
      </c>
      <c r="F1194" t="s">
        <v>262</v>
      </c>
      <c r="G1194" t="s">
        <v>269</v>
      </c>
      <c r="H1194">
        <v>4392.3949074701204</v>
      </c>
      <c r="I1194" t="s">
        <v>264</v>
      </c>
      <c r="J1194" t="s">
        <v>265</v>
      </c>
      <c r="K1194">
        <v>1211635</v>
      </c>
      <c r="L1194" t="s">
        <v>282</v>
      </c>
      <c r="M1194">
        <v>0</v>
      </c>
    </row>
    <row r="1195" spans="1:13" x14ac:dyDescent="0.25">
      <c r="A1195">
        <v>2014</v>
      </c>
      <c r="B1195" t="s">
        <v>259</v>
      </c>
      <c r="C1195">
        <v>27053</v>
      </c>
      <c r="D1195" t="s">
        <v>274</v>
      </c>
      <c r="E1195" t="s">
        <v>261</v>
      </c>
      <c r="F1195" t="s">
        <v>268</v>
      </c>
      <c r="G1195" t="s">
        <v>263</v>
      </c>
      <c r="H1195">
        <v>5162.3132719033201</v>
      </c>
      <c r="I1195" t="s">
        <v>264</v>
      </c>
      <c r="J1195" t="s">
        <v>265</v>
      </c>
      <c r="K1195">
        <v>1211635</v>
      </c>
      <c r="L1195" t="s">
        <v>282</v>
      </c>
      <c r="M1195">
        <v>0</v>
      </c>
    </row>
    <row r="1196" spans="1:13" x14ac:dyDescent="0.25">
      <c r="A1196">
        <v>2014</v>
      </c>
      <c r="B1196" t="s">
        <v>259</v>
      </c>
      <c r="C1196">
        <v>27053</v>
      </c>
      <c r="D1196" t="s">
        <v>274</v>
      </c>
      <c r="E1196" t="s">
        <v>261</v>
      </c>
      <c r="F1196" t="s">
        <v>268</v>
      </c>
      <c r="G1196" t="s">
        <v>267</v>
      </c>
      <c r="H1196">
        <v>52286.024078132199</v>
      </c>
      <c r="I1196" t="s">
        <v>264</v>
      </c>
      <c r="J1196" t="s">
        <v>265</v>
      </c>
      <c r="K1196">
        <v>1211635</v>
      </c>
      <c r="L1196" t="s">
        <v>282</v>
      </c>
      <c r="M1196">
        <v>0.04</v>
      </c>
    </row>
    <row r="1197" spans="1:13" x14ac:dyDescent="0.25">
      <c r="A1197">
        <v>2014</v>
      </c>
      <c r="B1197" t="s">
        <v>259</v>
      </c>
      <c r="C1197">
        <v>27053</v>
      </c>
      <c r="D1197" t="s">
        <v>274</v>
      </c>
      <c r="E1197" t="s">
        <v>261</v>
      </c>
      <c r="F1197" t="s">
        <v>268</v>
      </c>
      <c r="G1197" t="s">
        <v>269</v>
      </c>
      <c r="H1197">
        <v>10.304475496930801</v>
      </c>
      <c r="I1197" t="s">
        <v>264</v>
      </c>
      <c r="J1197" t="s">
        <v>265</v>
      </c>
      <c r="K1197">
        <v>1211635</v>
      </c>
      <c r="L1197" t="s">
        <v>282</v>
      </c>
      <c r="M1197">
        <v>0</v>
      </c>
    </row>
    <row r="1198" spans="1:13" x14ac:dyDescent="0.25">
      <c r="A1198">
        <v>2014</v>
      </c>
      <c r="B1198" t="s">
        <v>259</v>
      </c>
      <c r="C1198">
        <v>27053</v>
      </c>
      <c r="D1198" t="s">
        <v>274</v>
      </c>
      <c r="E1198" t="s">
        <v>261</v>
      </c>
      <c r="F1198" t="s">
        <v>270</v>
      </c>
      <c r="G1198" t="s">
        <v>263</v>
      </c>
      <c r="H1198">
        <v>342283.47142125299</v>
      </c>
      <c r="I1198" t="s">
        <v>264</v>
      </c>
      <c r="J1198" t="s">
        <v>265</v>
      </c>
      <c r="K1198">
        <v>1211635</v>
      </c>
      <c r="L1198" t="s">
        <v>282</v>
      </c>
      <c r="M1198">
        <v>0.28000000000000003</v>
      </c>
    </row>
    <row r="1199" spans="1:13" x14ac:dyDescent="0.25">
      <c r="A1199">
        <v>2014</v>
      </c>
      <c r="B1199" t="s">
        <v>259</v>
      </c>
      <c r="C1199">
        <v>27053</v>
      </c>
      <c r="D1199" t="s">
        <v>274</v>
      </c>
      <c r="E1199" t="s">
        <v>261</v>
      </c>
      <c r="F1199" t="s">
        <v>270</v>
      </c>
      <c r="G1199" t="s">
        <v>267</v>
      </c>
      <c r="H1199">
        <v>1074669.4396762699</v>
      </c>
      <c r="I1199" t="s">
        <v>264</v>
      </c>
      <c r="J1199" t="s">
        <v>265</v>
      </c>
      <c r="K1199">
        <v>1211635</v>
      </c>
      <c r="L1199" t="s">
        <v>282</v>
      </c>
      <c r="M1199">
        <v>0.89</v>
      </c>
    </row>
    <row r="1200" spans="1:13" x14ac:dyDescent="0.25">
      <c r="A1200">
        <v>2014</v>
      </c>
      <c r="B1200" t="s">
        <v>259</v>
      </c>
      <c r="C1200">
        <v>27053</v>
      </c>
      <c r="D1200" t="s">
        <v>274</v>
      </c>
      <c r="E1200" t="s">
        <v>261</v>
      </c>
      <c r="F1200" t="s">
        <v>270</v>
      </c>
      <c r="G1200" t="s">
        <v>269</v>
      </c>
      <c r="H1200">
        <v>882.69511928806003</v>
      </c>
      <c r="I1200" t="s">
        <v>264</v>
      </c>
      <c r="J1200" t="s">
        <v>265</v>
      </c>
      <c r="K1200">
        <v>1211635</v>
      </c>
      <c r="L1200" t="s">
        <v>282</v>
      </c>
      <c r="M1200">
        <v>0</v>
      </c>
    </row>
    <row r="1201" spans="1:13" x14ac:dyDescent="0.25">
      <c r="A1201">
        <v>2014</v>
      </c>
      <c r="B1201" t="s">
        <v>259</v>
      </c>
      <c r="C1201">
        <v>27123</v>
      </c>
      <c r="D1201" t="s">
        <v>275</v>
      </c>
      <c r="E1201" t="s">
        <v>261</v>
      </c>
      <c r="F1201" t="s">
        <v>262</v>
      </c>
      <c r="G1201" t="s">
        <v>263</v>
      </c>
      <c r="H1201">
        <v>1567588.7418752001</v>
      </c>
      <c r="I1201" t="s">
        <v>264</v>
      </c>
      <c r="J1201" t="s">
        <v>265</v>
      </c>
      <c r="K1201">
        <v>532966</v>
      </c>
      <c r="L1201" t="s">
        <v>282</v>
      </c>
      <c r="M1201">
        <v>2.94</v>
      </c>
    </row>
    <row r="1202" spans="1:13" x14ac:dyDescent="0.25">
      <c r="A1202">
        <v>2014</v>
      </c>
      <c r="B1202" t="s">
        <v>259</v>
      </c>
      <c r="C1202">
        <v>27123</v>
      </c>
      <c r="D1202" t="s">
        <v>275</v>
      </c>
      <c r="E1202" t="s">
        <v>261</v>
      </c>
      <c r="F1202" t="s">
        <v>262</v>
      </c>
      <c r="G1202" t="s">
        <v>267</v>
      </c>
      <c r="H1202">
        <v>19448.281694875299</v>
      </c>
      <c r="I1202" t="s">
        <v>264</v>
      </c>
      <c r="J1202" t="s">
        <v>265</v>
      </c>
      <c r="K1202">
        <v>532966</v>
      </c>
      <c r="L1202" t="s">
        <v>282</v>
      </c>
      <c r="M1202">
        <v>0.04</v>
      </c>
    </row>
    <row r="1203" spans="1:13" x14ac:dyDescent="0.25">
      <c r="A1203">
        <v>2014</v>
      </c>
      <c r="B1203" t="s">
        <v>259</v>
      </c>
      <c r="C1203">
        <v>27123</v>
      </c>
      <c r="D1203" t="s">
        <v>275</v>
      </c>
      <c r="E1203" t="s">
        <v>261</v>
      </c>
      <c r="F1203" t="s">
        <v>262</v>
      </c>
      <c r="G1203" t="s">
        <v>269</v>
      </c>
      <c r="H1203">
        <v>1680.49201494371</v>
      </c>
      <c r="I1203" t="s">
        <v>264</v>
      </c>
      <c r="J1203" t="s">
        <v>265</v>
      </c>
      <c r="K1203">
        <v>532966</v>
      </c>
      <c r="L1203" t="s">
        <v>282</v>
      </c>
      <c r="M1203">
        <v>0</v>
      </c>
    </row>
    <row r="1204" spans="1:13" x14ac:dyDescent="0.25">
      <c r="A1204">
        <v>2014</v>
      </c>
      <c r="B1204" t="s">
        <v>259</v>
      </c>
      <c r="C1204">
        <v>27123</v>
      </c>
      <c r="D1204" t="s">
        <v>275</v>
      </c>
      <c r="E1204" t="s">
        <v>261</v>
      </c>
      <c r="F1204" t="s">
        <v>268</v>
      </c>
      <c r="G1204" t="s">
        <v>263</v>
      </c>
      <c r="H1204">
        <v>2678.3709155957399</v>
      </c>
      <c r="I1204" t="s">
        <v>264</v>
      </c>
      <c r="J1204" t="s">
        <v>265</v>
      </c>
      <c r="K1204">
        <v>532966</v>
      </c>
      <c r="L1204" t="s">
        <v>282</v>
      </c>
      <c r="M1204">
        <v>0.01</v>
      </c>
    </row>
    <row r="1205" spans="1:13" x14ac:dyDescent="0.25">
      <c r="A1205">
        <v>2014</v>
      </c>
      <c r="B1205" t="s">
        <v>259</v>
      </c>
      <c r="C1205">
        <v>27123</v>
      </c>
      <c r="D1205" t="s">
        <v>275</v>
      </c>
      <c r="E1205" t="s">
        <v>261</v>
      </c>
      <c r="F1205" t="s">
        <v>268</v>
      </c>
      <c r="G1205" t="s">
        <v>267</v>
      </c>
      <c r="H1205">
        <v>20015.3441382405</v>
      </c>
      <c r="I1205" t="s">
        <v>264</v>
      </c>
      <c r="J1205" t="s">
        <v>265</v>
      </c>
      <c r="K1205">
        <v>532966</v>
      </c>
      <c r="L1205" t="s">
        <v>282</v>
      </c>
      <c r="M1205">
        <v>0.04</v>
      </c>
    </row>
    <row r="1206" spans="1:13" x14ac:dyDescent="0.25">
      <c r="A1206">
        <v>2014</v>
      </c>
      <c r="B1206" t="s">
        <v>259</v>
      </c>
      <c r="C1206">
        <v>27123</v>
      </c>
      <c r="D1206" t="s">
        <v>275</v>
      </c>
      <c r="E1206" t="s">
        <v>261</v>
      </c>
      <c r="F1206" t="s">
        <v>268</v>
      </c>
      <c r="G1206" t="s">
        <v>269</v>
      </c>
      <c r="H1206">
        <v>101.34664545187</v>
      </c>
      <c r="I1206" t="s">
        <v>264</v>
      </c>
      <c r="J1206" t="s">
        <v>265</v>
      </c>
      <c r="K1206">
        <v>532966</v>
      </c>
      <c r="L1206" t="s">
        <v>282</v>
      </c>
      <c r="M1206">
        <v>0</v>
      </c>
    </row>
    <row r="1207" spans="1:13" x14ac:dyDescent="0.25">
      <c r="A1207">
        <v>2014</v>
      </c>
      <c r="B1207" t="s">
        <v>259</v>
      </c>
      <c r="C1207">
        <v>27123</v>
      </c>
      <c r="D1207" t="s">
        <v>275</v>
      </c>
      <c r="E1207" t="s">
        <v>261</v>
      </c>
      <c r="F1207" t="s">
        <v>270</v>
      </c>
      <c r="G1207" t="s">
        <v>263</v>
      </c>
      <c r="H1207">
        <v>138445.50101099099</v>
      </c>
      <c r="I1207" t="s">
        <v>264</v>
      </c>
      <c r="J1207" t="s">
        <v>265</v>
      </c>
      <c r="K1207">
        <v>532966</v>
      </c>
      <c r="L1207" t="s">
        <v>282</v>
      </c>
      <c r="M1207">
        <v>0.26</v>
      </c>
    </row>
    <row r="1208" spans="1:13" x14ac:dyDescent="0.25">
      <c r="A1208">
        <v>2014</v>
      </c>
      <c r="B1208" t="s">
        <v>259</v>
      </c>
      <c r="C1208">
        <v>27123</v>
      </c>
      <c r="D1208" t="s">
        <v>275</v>
      </c>
      <c r="E1208" t="s">
        <v>261</v>
      </c>
      <c r="F1208" t="s">
        <v>270</v>
      </c>
      <c r="G1208" t="s">
        <v>267</v>
      </c>
      <c r="H1208">
        <v>455467.31376907101</v>
      </c>
      <c r="I1208" t="s">
        <v>264</v>
      </c>
      <c r="J1208" t="s">
        <v>265</v>
      </c>
      <c r="K1208">
        <v>532966</v>
      </c>
      <c r="L1208" t="s">
        <v>282</v>
      </c>
      <c r="M1208">
        <v>0.85</v>
      </c>
    </row>
    <row r="1209" spans="1:13" x14ac:dyDescent="0.25">
      <c r="A1209">
        <v>2014</v>
      </c>
      <c r="B1209" t="s">
        <v>259</v>
      </c>
      <c r="C1209">
        <v>27123</v>
      </c>
      <c r="D1209" t="s">
        <v>275</v>
      </c>
      <c r="E1209" t="s">
        <v>261</v>
      </c>
      <c r="F1209" t="s">
        <v>270</v>
      </c>
      <c r="G1209" t="s">
        <v>269</v>
      </c>
      <c r="H1209">
        <v>405.37469981521502</v>
      </c>
      <c r="I1209" t="s">
        <v>264</v>
      </c>
      <c r="J1209" t="s">
        <v>265</v>
      </c>
      <c r="K1209">
        <v>532966</v>
      </c>
      <c r="L1209" t="s">
        <v>282</v>
      </c>
      <c r="M1209">
        <v>0</v>
      </c>
    </row>
    <row r="1210" spans="1:13" x14ac:dyDescent="0.25">
      <c r="A1210">
        <v>2014</v>
      </c>
      <c r="B1210" t="s">
        <v>259</v>
      </c>
      <c r="C1210">
        <v>27139</v>
      </c>
      <c r="D1210" t="s">
        <v>276</v>
      </c>
      <c r="E1210" t="s">
        <v>261</v>
      </c>
      <c r="F1210" t="s">
        <v>262</v>
      </c>
      <c r="G1210" t="s">
        <v>263</v>
      </c>
      <c r="H1210">
        <v>455666.391299874</v>
      </c>
      <c r="I1210" t="s">
        <v>264</v>
      </c>
      <c r="J1210" t="s">
        <v>265</v>
      </c>
      <c r="K1210">
        <v>139198</v>
      </c>
      <c r="L1210" t="s">
        <v>282</v>
      </c>
      <c r="M1210">
        <v>3.27</v>
      </c>
    </row>
    <row r="1211" spans="1:13" x14ac:dyDescent="0.25">
      <c r="A1211">
        <v>2014</v>
      </c>
      <c r="B1211" t="s">
        <v>259</v>
      </c>
      <c r="C1211">
        <v>27139</v>
      </c>
      <c r="D1211" t="s">
        <v>276</v>
      </c>
      <c r="E1211" t="s">
        <v>261</v>
      </c>
      <c r="F1211" t="s">
        <v>262</v>
      </c>
      <c r="G1211" t="s">
        <v>267</v>
      </c>
      <c r="H1211">
        <v>14932.351089141401</v>
      </c>
      <c r="I1211" t="s">
        <v>264</v>
      </c>
      <c r="J1211" t="s">
        <v>265</v>
      </c>
      <c r="K1211">
        <v>139198</v>
      </c>
      <c r="L1211" t="s">
        <v>282</v>
      </c>
      <c r="M1211">
        <v>0.11</v>
      </c>
    </row>
    <row r="1212" spans="1:13" x14ac:dyDescent="0.25">
      <c r="A1212">
        <v>2014</v>
      </c>
      <c r="B1212" t="s">
        <v>259</v>
      </c>
      <c r="C1212">
        <v>27139</v>
      </c>
      <c r="D1212" t="s">
        <v>276</v>
      </c>
      <c r="E1212" t="s">
        <v>261</v>
      </c>
      <c r="F1212" t="s">
        <v>262</v>
      </c>
      <c r="G1212" t="s">
        <v>269</v>
      </c>
      <c r="H1212">
        <v>772.54395843193299</v>
      </c>
      <c r="I1212" t="s">
        <v>264</v>
      </c>
      <c r="J1212" t="s">
        <v>265</v>
      </c>
      <c r="K1212">
        <v>139198</v>
      </c>
      <c r="L1212" t="s">
        <v>282</v>
      </c>
      <c r="M1212">
        <v>0.01</v>
      </c>
    </row>
    <row r="1213" spans="1:13" x14ac:dyDescent="0.25">
      <c r="A1213">
        <v>2014</v>
      </c>
      <c r="B1213" t="s">
        <v>259</v>
      </c>
      <c r="C1213">
        <v>27139</v>
      </c>
      <c r="D1213" t="s">
        <v>276</v>
      </c>
      <c r="E1213" t="s">
        <v>261</v>
      </c>
      <c r="F1213" t="s">
        <v>268</v>
      </c>
      <c r="G1213" t="s">
        <v>263</v>
      </c>
      <c r="H1213">
        <v>784.68147520827802</v>
      </c>
      <c r="I1213" t="s">
        <v>264</v>
      </c>
      <c r="J1213" t="s">
        <v>265</v>
      </c>
      <c r="K1213">
        <v>139198</v>
      </c>
      <c r="L1213" t="s">
        <v>282</v>
      </c>
      <c r="M1213">
        <v>0.01</v>
      </c>
    </row>
    <row r="1214" spans="1:13" x14ac:dyDescent="0.25">
      <c r="A1214">
        <v>2014</v>
      </c>
      <c r="B1214" t="s">
        <v>259</v>
      </c>
      <c r="C1214">
        <v>27139</v>
      </c>
      <c r="D1214" t="s">
        <v>276</v>
      </c>
      <c r="E1214" t="s">
        <v>261</v>
      </c>
      <c r="F1214" t="s">
        <v>268</v>
      </c>
      <c r="G1214" t="s">
        <v>267</v>
      </c>
      <c r="H1214">
        <v>5766.6016035884704</v>
      </c>
      <c r="I1214" t="s">
        <v>264</v>
      </c>
      <c r="J1214" t="s">
        <v>265</v>
      </c>
      <c r="K1214">
        <v>139198</v>
      </c>
      <c r="L1214" t="s">
        <v>282</v>
      </c>
      <c r="M1214">
        <v>0.04</v>
      </c>
    </row>
    <row r="1215" spans="1:13" x14ac:dyDescent="0.25">
      <c r="A1215">
        <v>2014</v>
      </c>
      <c r="B1215" t="s">
        <v>259</v>
      </c>
      <c r="C1215">
        <v>27139</v>
      </c>
      <c r="D1215" t="s">
        <v>276</v>
      </c>
      <c r="E1215" t="s">
        <v>261</v>
      </c>
      <c r="F1215" t="s">
        <v>268</v>
      </c>
      <c r="G1215" t="s">
        <v>269</v>
      </c>
      <c r="H1215">
        <v>72.753309418205703</v>
      </c>
      <c r="I1215" t="s">
        <v>264</v>
      </c>
      <c r="J1215" t="s">
        <v>265</v>
      </c>
      <c r="K1215">
        <v>139198</v>
      </c>
      <c r="L1215" t="s">
        <v>282</v>
      </c>
      <c r="M1215">
        <v>0</v>
      </c>
    </row>
    <row r="1216" spans="1:13" x14ac:dyDescent="0.25">
      <c r="A1216">
        <v>2014</v>
      </c>
      <c r="B1216" t="s">
        <v>259</v>
      </c>
      <c r="C1216">
        <v>27139</v>
      </c>
      <c r="D1216" t="s">
        <v>276</v>
      </c>
      <c r="E1216" t="s">
        <v>261</v>
      </c>
      <c r="F1216" t="s">
        <v>270</v>
      </c>
      <c r="G1216" t="s">
        <v>263</v>
      </c>
      <c r="H1216">
        <v>27248.079524155401</v>
      </c>
      <c r="I1216" t="s">
        <v>264</v>
      </c>
      <c r="J1216" t="s">
        <v>265</v>
      </c>
      <c r="K1216">
        <v>139198</v>
      </c>
      <c r="L1216" t="s">
        <v>282</v>
      </c>
      <c r="M1216">
        <v>0.2</v>
      </c>
    </row>
    <row r="1217" spans="1:13" x14ac:dyDescent="0.25">
      <c r="A1217">
        <v>2014</v>
      </c>
      <c r="B1217" t="s">
        <v>259</v>
      </c>
      <c r="C1217">
        <v>27139</v>
      </c>
      <c r="D1217" t="s">
        <v>276</v>
      </c>
      <c r="E1217" t="s">
        <v>261</v>
      </c>
      <c r="F1217" t="s">
        <v>270</v>
      </c>
      <c r="G1217" t="s">
        <v>267</v>
      </c>
      <c r="H1217">
        <v>130895.067364242</v>
      </c>
      <c r="I1217" t="s">
        <v>264</v>
      </c>
      <c r="J1217" t="s">
        <v>265</v>
      </c>
      <c r="K1217">
        <v>139198</v>
      </c>
      <c r="L1217" t="s">
        <v>282</v>
      </c>
      <c r="M1217">
        <v>0.94</v>
      </c>
    </row>
    <row r="1218" spans="1:13" x14ac:dyDescent="0.25">
      <c r="A1218">
        <v>2014</v>
      </c>
      <c r="B1218" t="s">
        <v>259</v>
      </c>
      <c r="C1218">
        <v>27139</v>
      </c>
      <c r="D1218" t="s">
        <v>276</v>
      </c>
      <c r="E1218" t="s">
        <v>261</v>
      </c>
      <c r="F1218" t="s">
        <v>270</v>
      </c>
      <c r="G1218" t="s">
        <v>269</v>
      </c>
      <c r="H1218">
        <v>83.915777596493399</v>
      </c>
      <c r="I1218" t="s">
        <v>264</v>
      </c>
      <c r="J1218" t="s">
        <v>265</v>
      </c>
      <c r="K1218">
        <v>139198</v>
      </c>
      <c r="L1218" t="s">
        <v>282</v>
      </c>
      <c r="M1218">
        <v>0</v>
      </c>
    </row>
    <row r="1219" spans="1:13" x14ac:dyDescent="0.25">
      <c r="A1219">
        <v>2014</v>
      </c>
      <c r="B1219" t="s">
        <v>259</v>
      </c>
      <c r="C1219">
        <v>27141</v>
      </c>
      <c r="D1219" t="s">
        <v>277</v>
      </c>
      <c r="E1219" t="s">
        <v>261</v>
      </c>
      <c r="F1219" t="s">
        <v>262</v>
      </c>
      <c r="G1219" t="s">
        <v>263</v>
      </c>
      <c r="H1219">
        <v>296651.34096537798</v>
      </c>
      <c r="I1219" t="s">
        <v>264</v>
      </c>
      <c r="J1219" t="s">
        <v>265</v>
      </c>
      <c r="K1219">
        <v>90908</v>
      </c>
      <c r="L1219" t="s">
        <v>282</v>
      </c>
      <c r="M1219">
        <v>3.26</v>
      </c>
    </row>
    <row r="1220" spans="1:13" x14ac:dyDescent="0.25">
      <c r="A1220">
        <v>2014</v>
      </c>
      <c r="B1220" t="s">
        <v>259</v>
      </c>
      <c r="C1220">
        <v>27141</v>
      </c>
      <c r="D1220" t="s">
        <v>277</v>
      </c>
      <c r="E1220" t="s">
        <v>261</v>
      </c>
      <c r="F1220" t="s">
        <v>262</v>
      </c>
      <c r="G1220" t="s">
        <v>267</v>
      </c>
      <c r="H1220">
        <v>15182.4966382516</v>
      </c>
      <c r="I1220" t="s">
        <v>264</v>
      </c>
      <c r="J1220" t="s">
        <v>265</v>
      </c>
      <c r="K1220">
        <v>90908</v>
      </c>
      <c r="L1220" t="s">
        <v>282</v>
      </c>
      <c r="M1220">
        <v>0.17</v>
      </c>
    </row>
    <row r="1221" spans="1:13" x14ac:dyDescent="0.25">
      <c r="A1221">
        <v>2014</v>
      </c>
      <c r="B1221" t="s">
        <v>259</v>
      </c>
      <c r="C1221">
        <v>27141</v>
      </c>
      <c r="D1221" t="s">
        <v>277</v>
      </c>
      <c r="E1221" t="s">
        <v>261</v>
      </c>
      <c r="F1221" t="s">
        <v>262</v>
      </c>
      <c r="G1221" t="s">
        <v>269</v>
      </c>
      <c r="H1221">
        <v>546.42361716198195</v>
      </c>
      <c r="I1221" t="s">
        <v>264</v>
      </c>
      <c r="J1221" t="s">
        <v>265</v>
      </c>
      <c r="K1221">
        <v>90908</v>
      </c>
      <c r="L1221" t="s">
        <v>282</v>
      </c>
      <c r="M1221">
        <v>0.01</v>
      </c>
    </row>
    <row r="1222" spans="1:13" x14ac:dyDescent="0.25">
      <c r="A1222">
        <v>2014</v>
      </c>
      <c r="B1222" t="s">
        <v>259</v>
      </c>
      <c r="C1222">
        <v>27141</v>
      </c>
      <c r="D1222" t="s">
        <v>277</v>
      </c>
      <c r="E1222" t="s">
        <v>261</v>
      </c>
      <c r="F1222" t="s">
        <v>268</v>
      </c>
      <c r="G1222" t="s">
        <v>263</v>
      </c>
      <c r="H1222">
        <v>222.86893203469199</v>
      </c>
      <c r="I1222" t="s">
        <v>264</v>
      </c>
      <c r="J1222" t="s">
        <v>265</v>
      </c>
      <c r="K1222">
        <v>90908</v>
      </c>
      <c r="L1222" t="s">
        <v>282</v>
      </c>
      <c r="M1222">
        <v>0</v>
      </c>
    </row>
    <row r="1223" spans="1:13" x14ac:dyDescent="0.25">
      <c r="A1223">
        <v>2014</v>
      </c>
      <c r="B1223" t="s">
        <v>259</v>
      </c>
      <c r="C1223">
        <v>27141</v>
      </c>
      <c r="D1223" t="s">
        <v>277</v>
      </c>
      <c r="E1223" t="s">
        <v>261</v>
      </c>
      <c r="F1223" t="s">
        <v>268</v>
      </c>
      <c r="G1223" t="s">
        <v>267</v>
      </c>
      <c r="H1223">
        <v>3824.2586097991002</v>
      </c>
      <c r="I1223" t="s">
        <v>264</v>
      </c>
      <c r="J1223" t="s">
        <v>265</v>
      </c>
      <c r="K1223">
        <v>90908</v>
      </c>
      <c r="L1223" t="s">
        <v>282</v>
      </c>
      <c r="M1223">
        <v>0.04</v>
      </c>
    </row>
    <row r="1224" spans="1:13" x14ac:dyDescent="0.25">
      <c r="A1224">
        <v>2014</v>
      </c>
      <c r="B1224" t="s">
        <v>259</v>
      </c>
      <c r="C1224">
        <v>27141</v>
      </c>
      <c r="D1224" t="s">
        <v>277</v>
      </c>
      <c r="E1224" t="s">
        <v>261</v>
      </c>
      <c r="F1224" t="s">
        <v>268</v>
      </c>
      <c r="G1224" t="s">
        <v>269</v>
      </c>
      <c r="H1224">
        <v>67.865046556345604</v>
      </c>
      <c r="I1224" t="s">
        <v>264</v>
      </c>
      <c r="J1224" t="s">
        <v>265</v>
      </c>
      <c r="K1224">
        <v>90908</v>
      </c>
      <c r="L1224" t="s">
        <v>282</v>
      </c>
      <c r="M1224">
        <v>0</v>
      </c>
    </row>
    <row r="1225" spans="1:13" x14ac:dyDescent="0.25">
      <c r="A1225">
        <v>2014</v>
      </c>
      <c r="B1225" t="s">
        <v>259</v>
      </c>
      <c r="C1225">
        <v>27141</v>
      </c>
      <c r="D1225" t="s">
        <v>277</v>
      </c>
      <c r="E1225" t="s">
        <v>261</v>
      </c>
      <c r="F1225" t="s">
        <v>270</v>
      </c>
      <c r="G1225" t="s">
        <v>263</v>
      </c>
      <c r="H1225">
        <v>16419.092057349699</v>
      </c>
      <c r="I1225" t="s">
        <v>264</v>
      </c>
      <c r="J1225" t="s">
        <v>265</v>
      </c>
      <c r="K1225">
        <v>90908</v>
      </c>
      <c r="L1225" t="s">
        <v>282</v>
      </c>
      <c r="M1225">
        <v>0.18</v>
      </c>
    </row>
    <row r="1226" spans="1:13" x14ac:dyDescent="0.25">
      <c r="A1226">
        <v>2014</v>
      </c>
      <c r="B1226" t="s">
        <v>259</v>
      </c>
      <c r="C1226">
        <v>27141</v>
      </c>
      <c r="D1226" t="s">
        <v>277</v>
      </c>
      <c r="E1226" t="s">
        <v>261</v>
      </c>
      <c r="F1226" t="s">
        <v>270</v>
      </c>
      <c r="G1226" t="s">
        <v>267</v>
      </c>
      <c r="H1226">
        <v>86069.283701041495</v>
      </c>
      <c r="I1226" t="s">
        <v>264</v>
      </c>
      <c r="J1226" t="s">
        <v>265</v>
      </c>
      <c r="K1226">
        <v>90908</v>
      </c>
      <c r="L1226" t="s">
        <v>282</v>
      </c>
      <c r="M1226">
        <v>0.95</v>
      </c>
    </row>
    <row r="1227" spans="1:13" x14ac:dyDescent="0.25">
      <c r="A1227">
        <v>2014</v>
      </c>
      <c r="B1227" t="s">
        <v>259</v>
      </c>
      <c r="C1227">
        <v>27141</v>
      </c>
      <c r="D1227" t="s">
        <v>277</v>
      </c>
      <c r="E1227" t="s">
        <v>261</v>
      </c>
      <c r="F1227" t="s">
        <v>270</v>
      </c>
      <c r="G1227" t="s">
        <v>269</v>
      </c>
      <c r="H1227">
        <v>50.428489922810002</v>
      </c>
      <c r="I1227" t="s">
        <v>264</v>
      </c>
      <c r="J1227" t="s">
        <v>265</v>
      </c>
      <c r="K1227">
        <v>90908</v>
      </c>
      <c r="L1227" t="s">
        <v>282</v>
      </c>
      <c r="M1227">
        <v>0</v>
      </c>
    </row>
    <row r="1228" spans="1:13" x14ac:dyDescent="0.25">
      <c r="A1228">
        <v>2014</v>
      </c>
      <c r="B1228" t="s">
        <v>259</v>
      </c>
      <c r="C1228">
        <v>27163</v>
      </c>
      <c r="D1228" t="s">
        <v>278</v>
      </c>
      <c r="E1228" t="s">
        <v>261</v>
      </c>
      <c r="F1228" t="s">
        <v>262</v>
      </c>
      <c r="G1228" t="s">
        <v>263</v>
      </c>
      <c r="H1228">
        <v>818466.91183533496</v>
      </c>
      <c r="I1228" t="s">
        <v>264</v>
      </c>
      <c r="J1228" t="s">
        <v>265</v>
      </c>
      <c r="K1228">
        <v>248580</v>
      </c>
      <c r="L1228" t="s">
        <v>282</v>
      </c>
      <c r="M1228">
        <v>3.29</v>
      </c>
    </row>
    <row r="1229" spans="1:13" x14ac:dyDescent="0.25">
      <c r="A1229">
        <v>2014</v>
      </c>
      <c r="B1229" t="s">
        <v>259</v>
      </c>
      <c r="C1229">
        <v>27163</v>
      </c>
      <c r="D1229" t="s">
        <v>278</v>
      </c>
      <c r="E1229" t="s">
        <v>261</v>
      </c>
      <c r="F1229" t="s">
        <v>262</v>
      </c>
      <c r="G1229" t="s">
        <v>267</v>
      </c>
      <c r="H1229">
        <v>21886.473940976299</v>
      </c>
      <c r="I1229" t="s">
        <v>264</v>
      </c>
      <c r="J1229" t="s">
        <v>265</v>
      </c>
      <c r="K1229">
        <v>248580</v>
      </c>
      <c r="L1229" t="s">
        <v>282</v>
      </c>
      <c r="M1229">
        <v>0.09</v>
      </c>
    </row>
    <row r="1230" spans="1:13" x14ac:dyDescent="0.25">
      <c r="A1230">
        <v>2014</v>
      </c>
      <c r="B1230" t="s">
        <v>259</v>
      </c>
      <c r="C1230">
        <v>27163</v>
      </c>
      <c r="D1230" t="s">
        <v>278</v>
      </c>
      <c r="E1230" t="s">
        <v>261</v>
      </c>
      <c r="F1230" t="s">
        <v>262</v>
      </c>
      <c r="G1230" t="s">
        <v>269</v>
      </c>
      <c r="H1230">
        <v>1268.52336318327</v>
      </c>
      <c r="I1230" t="s">
        <v>264</v>
      </c>
      <c r="J1230" t="s">
        <v>265</v>
      </c>
      <c r="K1230">
        <v>248580</v>
      </c>
      <c r="L1230" t="s">
        <v>282</v>
      </c>
      <c r="M1230">
        <v>0.01</v>
      </c>
    </row>
    <row r="1231" spans="1:13" x14ac:dyDescent="0.25">
      <c r="A1231">
        <v>2014</v>
      </c>
      <c r="B1231" t="s">
        <v>259</v>
      </c>
      <c r="C1231">
        <v>27163</v>
      </c>
      <c r="D1231" t="s">
        <v>278</v>
      </c>
      <c r="E1231" t="s">
        <v>261</v>
      </c>
      <c r="F1231" t="s">
        <v>268</v>
      </c>
      <c r="G1231" t="s">
        <v>263</v>
      </c>
      <c r="H1231">
        <v>678.01355740843496</v>
      </c>
      <c r="I1231" t="s">
        <v>264</v>
      </c>
      <c r="J1231" t="s">
        <v>265</v>
      </c>
      <c r="K1231">
        <v>248580</v>
      </c>
      <c r="L1231" t="s">
        <v>282</v>
      </c>
      <c r="M1231">
        <v>0</v>
      </c>
    </row>
    <row r="1232" spans="1:13" x14ac:dyDescent="0.25">
      <c r="A1232">
        <v>2014</v>
      </c>
      <c r="B1232" t="s">
        <v>259</v>
      </c>
      <c r="C1232">
        <v>27163</v>
      </c>
      <c r="D1232" t="s">
        <v>278</v>
      </c>
      <c r="E1232" t="s">
        <v>261</v>
      </c>
      <c r="F1232" t="s">
        <v>268</v>
      </c>
      <c r="G1232" t="s">
        <v>267</v>
      </c>
      <c r="H1232">
        <v>11055.558770399801</v>
      </c>
      <c r="I1232" t="s">
        <v>264</v>
      </c>
      <c r="J1232" t="s">
        <v>265</v>
      </c>
      <c r="K1232">
        <v>248580</v>
      </c>
      <c r="L1232" t="s">
        <v>282</v>
      </c>
      <c r="M1232">
        <v>0.04</v>
      </c>
    </row>
    <row r="1233" spans="1:13" x14ac:dyDescent="0.25">
      <c r="A1233">
        <v>2014</v>
      </c>
      <c r="B1233" t="s">
        <v>259</v>
      </c>
      <c r="C1233">
        <v>27163</v>
      </c>
      <c r="D1233" t="s">
        <v>278</v>
      </c>
      <c r="E1233" t="s">
        <v>261</v>
      </c>
      <c r="F1233" t="s">
        <v>268</v>
      </c>
      <c r="G1233" t="s">
        <v>269</v>
      </c>
      <c r="H1233">
        <v>206.606449503032</v>
      </c>
      <c r="I1233" t="s">
        <v>264</v>
      </c>
      <c r="J1233" t="s">
        <v>265</v>
      </c>
      <c r="K1233">
        <v>248580</v>
      </c>
      <c r="L1233" t="s">
        <v>282</v>
      </c>
      <c r="M1233">
        <v>0</v>
      </c>
    </row>
    <row r="1234" spans="1:13" x14ac:dyDescent="0.25">
      <c r="A1234">
        <v>2014</v>
      </c>
      <c r="B1234" t="s">
        <v>259</v>
      </c>
      <c r="C1234">
        <v>27163</v>
      </c>
      <c r="D1234" t="s">
        <v>278</v>
      </c>
      <c r="E1234" t="s">
        <v>261</v>
      </c>
      <c r="F1234" t="s">
        <v>270</v>
      </c>
      <c r="G1234" t="s">
        <v>263</v>
      </c>
      <c r="H1234">
        <v>39429.112928625102</v>
      </c>
      <c r="I1234" t="s">
        <v>264</v>
      </c>
      <c r="J1234" t="s">
        <v>265</v>
      </c>
      <c r="K1234">
        <v>248580</v>
      </c>
      <c r="L1234" t="s">
        <v>282</v>
      </c>
      <c r="M1234">
        <v>0.16</v>
      </c>
    </row>
    <row r="1235" spans="1:13" x14ac:dyDescent="0.25">
      <c r="A1235">
        <v>2014</v>
      </c>
      <c r="B1235" t="s">
        <v>259</v>
      </c>
      <c r="C1235">
        <v>27163</v>
      </c>
      <c r="D1235" t="s">
        <v>278</v>
      </c>
      <c r="E1235" t="s">
        <v>261</v>
      </c>
      <c r="F1235" t="s">
        <v>270</v>
      </c>
      <c r="G1235" t="s">
        <v>267</v>
      </c>
      <c r="H1235">
        <v>237915.205188188</v>
      </c>
      <c r="I1235" t="s">
        <v>264</v>
      </c>
      <c r="J1235" t="s">
        <v>265</v>
      </c>
      <c r="K1235">
        <v>248580</v>
      </c>
      <c r="L1235" t="s">
        <v>282</v>
      </c>
      <c r="M1235">
        <v>0.96</v>
      </c>
    </row>
    <row r="1236" spans="1:13" x14ac:dyDescent="0.25">
      <c r="A1236">
        <v>2014</v>
      </c>
      <c r="B1236" t="s">
        <v>259</v>
      </c>
      <c r="C1236">
        <v>27163</v>
      </c>
      <c r="D1236" t="s">
        <v>278</v>
      </c>
      <c r="E1236" t="s">
        <v>261</v>
      </c>
      <c r="F1236" t="s">
        <v>270</v>
      </c>
      <c r="G1236" t="s">
        <v>269</v>
      </c>
      <c r="H1236">
        <v>151.49090136568901</v>
      </c>
      <c r="I1236" t="s">
        <v>264</v>
      </c>
      <c r="J1236" t="s">
        <v>265</v>
      </c>
      <c r="K1236">
        <v>248580</v>
      </c>
      <c r="L1236" t="s">
        <v>282</v>
      </c>
      <c r="M1236">
        <v>0</v>
      </c>
    </row>
    <row r="1237" spans="1:13" x14ac:dyDescent="0.25">
      <c r="A1237">
        <v>2014</v>
      </c>
      <c r="B1237" t="s">
        <v>259</v>
      </c>
      <c r="C1237">
        <v>55093</v>
      </c>
      <c r="D1237" t="s">
        <v>279</v>
      </c>
      <c r="E1237" t="s">
        <v>261</v>
      </c>
      <c r="F1237" t="s">
        <v>262</v>
      </c>
      <c r="G1237" t="s">
        <v>263</v>
      </c>
      <c r="H1237">
        <v>125986.569375623</v>
      </c>
      <c r="I1237" t="s">
        <v>264</v>
      </c>
      <c r="J1237" t="s">
        <v>265</v>
      </c>
      <c r="K1237">
        <v>41076</v>
      </c>
      <c r="L1237" t="s">
        <v>282</v>
      </c>
      <c r="M1237">
        <v>3.07</v>
      </c>
    </row>
    <row r="1238" spans="1:13" x14ac:dyDescent="0.25">
      <c r="A1238">
        <v>2014</v>
      </c>
      <c r="B1238" t="s">
        <v>259</v>
      </c>
      <c r="C1238">
        <v>55093</v>
      </c>
      <c r="D1238" t="s">
        <v>279</v>
      </c>
      <c r="E1238" t="s">
        <v>261</v>
      </c>
      <c r="F1238" t="s">
        <v>262</v>
      </c>
      <c r="G1238" t="s">
        <v>267</v>
      </c>
      <c r="H1238">
        <v>7285.5334058560702</v>
      </c>
      <c r="I1238" t="s">
        <v>264</v>
      </c>
      <c r="J1238" t="s">
        <v>265</v>
      </c>
      <c r="K1238">
        <v>41076</v>
      </c>
      <c r="L1238" t="s">
        <v>282</v>
      </c>
      <c r="M1238">
        <v>0.18</v>
      </c>
    </row>
    <row r="1239" spans="1:13" x14ac:dyDescent="0.25">
      <c r="A1239">
        <v>2014</v>
      </c>
      <c r="B1239" t="s">
        <v>259</v>
      </c>
      <c r="C1239">
        <v>55093</v>
      </c>
      <c r="D1239" t="s">
        <v>279</v>
      </c>
      <c r="E1239" t="s">
        <v>261</v>
      </c>
      <c r="F1239" t="s">
        <v>262</v>
      </c>
      <c r="G1239" t="s">
        <v>269</v>
      </c>
      <c r="H1239">
        <v>228.439892833725</v>
      </c>
      <c r="I1239" t="s">
        <v>264</v>
      </c>
      <c r="J1239" t="s">
        <v>265</v>
      </c>
      <c r="K1239">
        <v>41076</v>
      </c>
      <c r="L1239" t="s">
        <v>282</v>
      </c>
      <c r="M1239">
        <v>0.01</v>
      </c>
    </row>
    <row r="1240" spans="1:13" x14ac:dyDescent="0.25">
      <c r="A1240">
        <v>2014</v>
      </c>
      <c r="B1240" t="s">
        <v>259</v>
      </c>
      <c r="C1240">
        <v>55093</v>
      </c>
      <c r="D1240" t="s">
        <v>279</v>
      </c>
      <c r="E1240" t="s">
        <v>261</v>
      </c>
      <c r="F1240" t="s">
        <v>268</v>
      </c>
      <c r="G1240" t="s">
        <v>263</v>
      </c>
      <c r="H1240">
        <v>153.09221430879001</v>
      </c>
      <c r="I1240" t="s">
        <v>264</v>
      </c>
      <c r="J1240" t="s">
        <v>265</v>
      </c>
      <c r="K1240">
        <v>41076</v>
      </c>
      <c r="L1240" t="s">
        <v>282</v>
      </c>
      <c r="M1240">
        <v>0</v>
      </c>
    </row>
    <row r="1241" spans="1:13" x14ac:dyDescent="0.25">
      <c r="A1241">
        <v>2014</v>
      </c>
      <c r="B1241" t="s">
        <v>259</v>
      </c>
      <c r="C1241">
        <v>55093</v>
      </c>
      <c r="D1241" t="s">
        <v>279</v>
      </c>
      <c r="E1241" t="s">
        <v>261</v>
      </c>
      <c r="F1241" t="s">
        <v>268</v>
      </c>
      <c r="G1241" t="s">
        <v>267</v>
      </c>
      <c r="H1241">
        <v>2196.9052727273402</v>
      </c>
      <c r="I1241" t="s">
        <v>264</v>
      </c>
      <c r="J1241" t="s">
        <v>265</v>
      </c>
      <c r="K1241">
        <v>41076</v>
      </c>
      <c r="L1241" t="s">
        <v>282</v>
      </c>
      <c r="M1241">
        <v>0.05</v>
      </c>
    </row>
    <row r="1242" spans="1:13" x14ac:dyDescent="0.25">
      <c r="A1242">
        <v>2014</v>
      </c>
      <c r="B1242" t="s">
        <v>259</v>
      </c>
      <c r="C1242">
        <v>55093</v>
      </c>
      <c r="D1242" t="s">
        <v>279</v>
      </c>
      <c r="E1242" t="s">
        <v>261</v>
      </c>
      <c r="F1242" t="s">
        <v>268</v>
      </c>
      <c r="G1242" t="s">
        <v>269</v>
      </c>
      <c r="H1242">
        <v>59.674953983768098</v>
      </c>
      <c r="I1242" t="s">
        <v>264</v>
      </c>
      <c r="J1242" t="s">
        <v>265</v>
      </c>
      <c r="K1242">
        <v>41076</v>
      </c>
      <c r="L1242" t="s">
        <v>282</v>
      </c>
      <c r="M1242">
        <v>0</v>
      </c>
    </row>
    <row r="1243" spans="1:13" x14ac:dyDescent="0.25">
      <c r="A1243">
        <v>2014</v>
      </c>
      <c r="B1243" t="s">
        <v>259</v>
      </c>
      <c r="C1243">
        <v>55093</v>
      </c>
      <c r="D1243" t="s">
        <v>279</v>
      </c>
      <c r="E1243" t="s">
        <v>261</v>
      </c>
      <c r="F1243" t="s">
        <v>270</v>
      </c>
      <c r="G1243" t="s">
        <v>263</v>
      </c>
      <c r="H1243">
        <v>6850.3214032210399</v>
      </c>
      <c r="I1243" t="s">
        <v>264</v>
      </c>
      <c r="J1243" t="s">
        <v>265</v>
      </c>
      <c r="K1243">
        <v>41076</v>
      </c>
      <c r="L1243" t="s">
        <v>282</v>
      </c>
      <c r="M1243">
        <v>0.17</v>
      </c>
    </row>
    <row r="1244" spans="1:13" x14ac:dyDescent="0.25">
      <c r="A1244">
        <v>2014</v>
      </c>
      <c r="B1244" t="s">
        <v>259</v>
      </c>
      <c r="C1244">
        <v>55093</v>
      </c>
      <c r="D1244" t="s">
        <v>279</v>
      </c>
      <c r="E1244" t="s">
        <v>261</v>
      </c>
      <c r="F1244" t="s">
        <v>270</v>
      </c>
      <c r="G1244" t="s">
        <v>267</v>
      </c>
      <c r="H1244">
        <v>21482.246193993698</v>
      </c>
      <c r="I1244" t="s">
        <v>264</v>
      </c>
      <c r="J1244" t="s">
        <v>265</v>
      </c>
      <c r="K1244">
        <v>41076</v>
      </c>
      <c r="L1244" t="s">
        <v>282</v>
      </c>
      <c r="M1244">
        <v>0.52</v>
      </c>
    </row>
    <row r="1245" spans="1:13" x14ac:dyDescent="0.25">
      <c r="A1245">
        <v>2014</v>
      </c>
      <c r="B1245" t="s">
        <v>259</v>
      </c>
      <c r="C1245">
        <v>55093</v>
      </c>
      <c r="D1245" t="s">
        <v>279</v>
      </c>
      <c r="E1245" t="s">
        <v>261</v>
      </c>
      <c r="F1245" t="s">
        <v>270</v>
      </c>
      <c r="G1245" t="s">
        <v>269</v>
      </c>
      <c r="H1245">
        <v>26.037210198887902</v>
      </c>
      <c r="I1245" t="s">
        <v>264</v>
      </c>
      <c r="J1245" t="s">
        <v>265</v>
      </c>
      <c r="K1245">
        <v>41076</v>
      </c>
      <c r="L1245" t="s">
        <v>282</v>
      </c>
      <c r="M1245">
        <v>0</v>
      </c>
    </row>
    <row r="1246" spans="1:13" x14ac:dyDescent="0.25">
      <c r="A1246">
        <v>2014</v>
      </c>
      <c r="B1246" t="s">
        <v>259</v>
      </c>
      <c r="C1246">
        <v>55109</v>
      </c>
      <c r="D1246" t="s">
        <v>280</v>
      </c>
      <c r="E1246" t="s">
        <v>261</v>
      </c>
      <c r="F1246" t="s">
        <v>262</v>
      </c>
      <c r="G1246" t="s">
        <v>263</v>
      </c>
      <c r="H1246">
        <v>399024.72688595601</v>
      </c>
      <c r="I1246" t="s">
        <v>264</v>
      </c>
      <c r="J1246" t="s">
        <v>265</v>
      </c>
      <c r="K1246">
        <v>86599</v>
      </c>
      <c r="L1246" t="s">
        <v>282</v>
      </c>
      <c r="M1246">
        <v>4.6100000000000003</v>
      </c>
    </row>
    <row r="1247" spans="1:13" x14ac:dyDescent="0.25">
      <c r="A1247">
        <v>2014</v>
      </c>
      <c r="B1247" t="s">
        <v>259</v>
      </c>
      <c r="C1247">
        <v>55109</v>
      </c>
      <c r="D1247" t="s">
        <v>280</v>
      </c>
      <c r="E1247" t="s">
        <v>261</v>
      </c>
      <c r="F1247" t="s">
        <v>262</v>
      </c>
      <c r="G1247" t="s">
        <v>267</v>
      </c>
      <c r="H1247">
        <v>22435.7827226915</v>
      </c>
      <c r="I1247" t="s">
        <v>264</v>
      </c>
      <c r="J1247" t="s">
        <v>265</v>
      </c>
      <c r="K1247">
        <v>86599</v>
      </c>
      <c r="L1247" t="s">
        <v>282</v>
      </c>
      <c r="M1247">
        <v>0.26</v>
      </c>
    </row>
    <row r="1248" spans="1:13" x14ac:dyDescent="0.25">
      <c r="A1248">
        <v>2014</v>
      </c>
      <c r="B1248" t="s">
        <v>259</v>
      </c>
      <c r="C1248">
        <v>55109</v>
      </c>
      <c r="D1248" t="s">
        <v>280</v>
      </c>
      <c r="E1248" t="s">
        <v>261</v>
      </c>
      <c r="F1248" t="s">
        <v>262</v>
      </c>
      <c r="G1248" t="s">
        <v>269</v>
      </c>
      <c r="H1248">
        <v>664.385409788483</v>
      </c>
      <c r="I1248" t="s">
        <v>264</v>
      </c>
      <c r="J1248" t="s">
        <v>265</v>
      </c>
      <c r="K1248">
        <v>86599</v>
      </c>
      <c r="L1248" t="s">
        <v>282</v>
      </c>
      <c r="M1248">
        <v>0.01</v>
      </c>
    </row>
    <row r="1249" spans="1:13" x14ac:dyDescent="0.25">
      <c r="A1249">
        <v>2014</v>
      </c>
      <c r="B1249" t="s">
        <v>259</v>
      </c>
      <c r="C1249">
        <v>55109</v>
      </c>
      <c r="D1249" t="s">
        <v>280</v>
      </c>
      <c r="E1249" t="s">
        <v>261</v>
      </c>
      <c r="F1249" t="s">
        <v>268</v>
      </c>
      <c r="G1249" t="s">
        <v>263</v>
      </c>
      <c r="H1249">
        <v>342.44147397242199</v>
      </c>
      <c r="I1249" t="s">
        <v>264</v>
      </c>
      <c r="J1249" t="s">
        <v>265</v>
      </c>
      <c r="K1249">
        <v>86599</v>
      </c>
      <c r="L1249" t="s">
        <v>282</v>
      </c>
      <c r="M1249">
        <v>0</v>
      </c>
    </row>
    <row r="1250" spans="1:13" x14ac:dyDescent="0.25">
      <c r="A1250">
        <v>2014</v>
      </c>
      <c r="B1250" t="s">
        <v>259</v>
      </c>
      <c r="C1250">
        <v>55109</v>
      </c>
      <c r="D1250" t="s">
        <v>280</v>
      </c>
      <c r="E1250" t="s">
        <v>261</v>
      </c>
      <c r="F1250" t="s">
        <v>268</v>
      </c>
      <c r="G1250" t="s">
        <v>267</v>
      </c>
      <c r="H1250">
        <v>6779.5258887441096</v>
      </c>
      <c r="I1250" t="s">
        <v>264</v>
      </c>
      <c r="J1250" t="s">
        <v>265</v>
      </c>
      <c r="K1250">
        <v>86599</v>
      </c>
      <c r="L1250" t="s">
        <v>282</v>
      </c>
      <c r="M1250">
        <v>0.08</v>
      </c>
    </row>
    <row r="1251" spans="1:13" x14ac:dyDescent="0.25">
      <c r="A1251">
        <v>2014</v>
      </c>
      <c r="B1251" t="s">
        <v>259</v>
      </c>
      <c r="C1251">
        <v>55109</v>
      </c>
      <c r="D1251" t="s">
        <v>280</v>
      </c>
      <c r="E1251" t="s">
        <v>261</v>
      </c>
      <c r="F1251" t="s">
        <v>268</v>
      </c>
      <c r="G1251" t="s">
        <v>269</v>
      </c>
      <c r="H1251">
        <v>122.92629231363701</v>
      </c>
      <c r="I1251" t="s">
        <v>264</v>
      </c>
      <c r="J1251" t="s">
        <v>265</v>
      </c>
      <c r="K1251">
        <v>86599</v>
      </c>
      <c r="L1251" t="s">
        <v>282</v>
      </c>
      <c r="M1251">
        <v>0</v>
      </c>
    </row>
    <row r="1252" spans="1:13" x14ac:dyDescent="0.25">
      <c r="A1252">
        <v>2014</v>
      </c>
      <c r="B1252" t="s">
        <v>259</v>
      </c>
      <c r="C1252">
        <v>55109</v>
      </c>
      <c r="D1252" t="s">
        <v>280</v>
      </c>
      <c r="E1252" t="s">
        <v>261</v>
      </c>
      <c r="F1252" t="s">
        <v>270</v>
      </c>
      <c r="G1252" t="s">
        <v>263</v>
      </c>
      <c r="H1252">
        <v>23395.528771676301</v>
      </c>
      <c r="I1252" t="s">
        <v>264</v>
      </c>
      <c r="J1252" t="s">
        <v>265</v>
      </c>
      <c r="K1252">
        <v>86599</v>
      </c>
      <c r="L1252" t="s">
        <v>282</v>
      </c>
      <c r="M1252">
        <v>0.27</v>
      </c>
    </row>
    <row r="1253" spans="1:13" x14ac:dyDescent="0.25">
      <c r="A1253">
        <v>2014</v>
      </c>
      <c r="B1253" t="s">
        <v>259</v>
      </c>
      <c r="C1253">
        <v>55109</v>
      </c>
      <c r="D1253" t="s">
        <v>280</v>
      </c>
      <c r="E1253" t="s">
        <v>261</v>
      </c>
      <c r="F1253" t="s">
        <v>270</v>
      </c>
      <c r="G1253" t="s">
        <v>267</v>
      </c>
      <c r="H1253">
        <v>139384.60644429</v>
      </c>
      <c r="I1253" t="s">
        <v>264</v>
      </c>
      <c r="J1253" t="s">
        <v>265</v>
      </c>
      <c r="K1253">
        <v>86599</v>
      </c>
      <c r="L1253" t="s">
        <v>282</v>
      </c>
      <c r="M1253">
        <v>1.61</v>
      </c>
    </row>
    <row r="1254" spans="1:13" x14ac:dyDescent="0.25">
      <c r="A1254">
        <v>2014</v>
      </c>
      <c r="B1254" t="s">
        <v>259</v>
      </c>
      <c r="C1254">
        <v>55109</v>
      </c>
      <c r="D1254" t="s">
        <v>280</v>
      </c>
      <c r="E1254" t="s">
        <v>261</v>
      </c>
      <c r="F1254" t="s">
        <v>270</v>
      </c>
      <c r="G1254" t="s">
        <v>269</v>
      </c>
      <c r="H1254">
        <v>83.105556461348698</v>
      </c>
      <c r="I1254" t="s">
        <v>264</v>
      </c>
      <c r="J1254" t="s">
        <v>265</v>
      </c>
      <c r="K1254">
        <v>86599</v>
      </c>
      <c r="L1254" t="s">
        <v>282</v>
      </c>
      <c r="M1254">
        <v>0</v>
      </c>
    </row>
    <row r="1255" spans="1:13" x14ac:dyDescent="0.25">
      <c r="A1255">
        <v>2015</v>
      </c>
      <c r="B1255" t="s">
        <v>259</v>
      </c>
      <c r="C1255">
        <v>27003</v>
      </c>
      <c r="D1255" t="s">
        <v>260</v>
      </c>
      <c r="E1255" t="s">
        <v>261</v>
      </c>
      <c r="F1255" t="s">
        <v>262</v>
      </c>
      <c r="G1255" t="s">
        <v>263</v>
      </c>
      <c r="H1255">
        <v>1084840.4822814199</v>
      </c>
      <c r="I1255" t="s">
        <v>264</v>
      </c>
      <c r="J1255" t="s">
        <v>265</v>
      </c>
      <c r="K1255">
        <v>344244</v>
      </c>
      <c r="L1255" t="s">
        <v>282</v>
      </c>
      <c r="M1255">
        <v>3.15</v>
      </c>
    </row>
    <row r="1256" spans="1:13" x14ac:dyDescent="0.25">
      <c r="A1256">
        <v>2015</v>
      </c>
      <c r="B1256" t="s">
        <v>259</v>
      </c>
      <c r="C1256">
        <v>27003</v>
      </c>
      <c r="D1256" t="s">
        <v>260</v>
      </c>
      <c r="E1256" t="s">
        <v>261</v>
      </c>
      <c r="F1256" t="s">
        <v>262</v>
      </c>
      <c r="G1256" t="s">
        <v>267</v>
      </c>
      <c r="H1256">
        <v>29409.0739296801</v>
      </c>
      <c r="I1256" t="s">
        <v>264</v>
      </c>
      <c r="J1256" t="s">
        <v>265</v>
      </c>
      <c r="K1256">
        <v>344244</v>
      </c>
      <c r="L1256" t="s">
        <v>282</v>
      </c>
      <c r="M1256">
        <v>0.09</v>
      </c>
    </row>
    <row r="1257" spans="1:13" x14ac:dyDescent="0.25">
      <c r="A1257">
        <v>2015</v>
      </c>
      <c r="B1257" t="s">
        <v>259</v>
      </c>
      <c r="C1257">
        <v>27003</v>
      </c>
      <c r="D1257" t="s">
        <v>260</v>
      </c>
      <c r="E1257" t="s">
        <v>261</v>
      </c>
      <c r="F1257" t="s">
        <v>262</v>
      </c>
      <c r="G1257" t="s">
        <v>269</v>
      </c>
      <c r="H1257">
        <v>1769.4957897551001</v>
      </c>
      <c r="I1257" t="s">
        <v>264</v>
      </c>
      <c r="J1257" t="s">
        <v>265</v>
      </c>
      <c r="K1257">
        <v>344244</v>
      </c>
      <c r="L1257" t="s">
        <v>282</v>
      </c>
      <c r="M1257">
        <v>0.01</v>
      </c>
    </row>
    <row r="1258" spans="1:13" x14ac:dyDescent="0.25">
      <c r="A1258">
        <v>2015</v>
      </c>
      <c r="B1258" t="s">
        <v>259</v>
      </c>
      <c r="C1258">
        <v>27003</v>
      </c>
      <c r="D1258" t="s">
        <v>260</v>
      </c>
      <c r="E1258" t="s">
        <v>261</v>
      </c>
      <c r="F1258" t="s">
        <v>268</v>
      </c>
      <c r="G1258" t="s">
        <v>263</v>
      </c>
      <c r="H1258">
        <v>908.91352521221199</v>
      </c>
      <c r="I1258" t="s">
        <v>264</v>
      </c>
      <c r="J1258" t="s">
        <v>265</v>
      </c>
      <c r="K1258">
        <v>344244</v>
      </c>
      <c r="L1258" t="s">
        <v>282</v>
      </c>
      <c r="M1258">
        <v>0</v>
      </c>
    </row>
    <row r="1259" spans="1:13" x14ac:dyDescent="0.25">
      <c r="A1259">
        <v>2015</v>
      </c>
      <c r="B1259" t="s">
        <v>259</v>
      </c>
      <c r="C1259">
        <v>27003</v>
      </c>
      <c r="D1259" t="s">
        <v>260</v>
      </c>
      <c r="E1259" t="s">
        <v>261</v>
      </c>
      <c r="F1259" t="s">
        <v>268</v>
      </c>
      <c r="G1259" t="s">
        <v>267</v>
      </c>
      <c r="H1259">
        <v>14757.092079751999</v>
      </c>
      <c r="I1259" t="s">
        <v>264</v>
      </c>
      <c r="J1259" t="s">
        <v>265</v>
      </c>
      <c r="K1259">
        <v>344244</v>
      </c>
      <c r="L1259" t="s">
        <v>282</v>
      </c>
      <c r="M1259">
        <v>0.04</v>
      </c>
    </row>
    <row r="1260" spans="1:13" x14ac:dyDescent="0.25">
      <c r="A1260">
        <v>2015</v>
      </c>
      <c r="B1260" t="s">
        <v>259</v>
      </c>
      <c r="C1260">
        <v>27003</v>
      </c>
      <c r="D1260" t="s">
        <v>260</v>
      </c>
      <c r="E1260" t="s">
        <v>261</v>
      </c>
      <c r="F1260" t="s">
        <v>268</v>
      </c>
      <c r="G1260" t="s">
        <v>269</v>
      </c>
      <c r="H1260">
        <v>8.1305672649627496</v>
      </c>
      <c r="I1260" t="s">
        <v>264</v>
      </c>
      <c r="J1260" t="s">
        <v>265</v>
      </c>
      <c r="K1260">
        <v>344244</v>
      </c>
      <c r="L1260" t="s">
        <v>282</v>
      </c>
      <c r="M1260">
        <v>0</v>
      </c>
    </row>
    <row r="1261" spans="1:13" x14ac:dyDescent="0.25">
      <c r="A1261">
        <v>2015</v>
      </c>
      <c r="B1261" t="s">
        <v>259</v>
      </c>
      <c r="C1261">
        <v>27003</v>
      </c>
      <c r="D1261" t="s">
        <v>260</v>
      </c>
      <c r="E1261" t="s">
        <v>261</v>
      </c>
      <c r="F1261" t="s">
        <v>270</v>
      </c>
      <c r="G1261" t="s">
        <v>263</v>
      </c>
      <c r="H1261">
        <v>81684.673778570403</v>
      </c>
      <c r="I1261" t="s">
        <v>264</v>
      </c>
      <c r="J1261" t="s">
        <v>265</v>
      </c>
      <c r="K1261">
        <v>344244</v>
      </c>
      <c r="L1261" t="s">
        <v>282</v>
      </c>
      <c r="M1261">
        <v>0.24</v>
      </c>
    </row>
    <row r="1262" spans="1:13" x14ac:dyDescent="0.25">
      <c r="A1262">
        <v>2015</v>
      </c>
      <c r="B1262" t="s">
        <v>259</v>
      </c>
      <c r="C1262">
        <v>27003</v>
      </c>
      <c r="D1262" t="s">
        <v>260</v>
      </c>
      <c r="E1262" t="s">
        <v>261</v>
      </c>
      <c r="F1262" t="s">
        <v>270</v>
      </c>
      <c r="G1262" t="s">
        <v>267</v>
      </c>
      <c r="H1262">
        <v>309889.002191409</v>
      </c>
      <c r="I1262" t="s">
        <v>264</v>
      </c>
      <c r="J1262" t="s">
        <v>265</v>
      </c>
      <c r="K1262">
        <v>344244</v>
      </c>
      <c r="L1262" t="s">
        <v>282</v>
      </c>
      <c r="M1262">
        <v>0.9</v>
      </c>
    </row>
    <row r="1263" spans="1:13" x14ac:dyDescent="0.25">
      <c r="A1263">
        <v>2015</v>
      </c>
      <c r="B1263" t="s">
        <v>259</v>
      </c>
      <c r="C1263">
        <v>27003</v>
      </c>
      <c r="D1263" t="s">
        <v>260</v>
      </c>
      <c r="E1263" t="s">
        <v>261</v>
      </c>
      <c r="F1263" t="s">
        <v>270</v>
      </c>
      <c r="G1263" t="s">
        <v>269</v>
      </c>
      <c r="H1263">
        <v>162.77859402816</v>
      </c>
      <c r="I1263" t="s">
        <v>264</v>
      </c>
      <c r="J1263" t="s">
        <v>265</v>
      </c>
      <c r="K1263">
        <v>344244</v>
      </c>
      <c r="L1263" t="s">
        <v>282</v>
      </c>
      <c r="M1263">
        <v>0</v>
      </c>
    </row>
    <row r="1264" spans="1:13" x14ac:dyDescent="0.25">
      <c r="A1264">
        <v>2015</v>
      </c>
      <c r="B1264" t="s">
        <v>259</v>
      </c>
      <c r="C1264">
        <v>27019</v>
      </c>
      <c r="D1264" t="s">
        <v>271</v>
      </c>
      <c r="E1264" t="s">
        <v>261</v>
      </c>
      <c r="F1264" t="s">
        <v>262</v>
      </c>
      <c r="G1264" t="s">
        <v>263</v>
      </c>
      <c r="H1264">
        <v>312572.65904920403</v>
      </c>
      <c r="I1264" t="s">
        <v>264</v>
      </c>
      <c r="J1264" t="s">
        <v>265</v>
      </c>
      <c r="K1264">
        <v>98610</v>
      </c>
      <c r="L1264" t="s">
        <v>282</v>
      </c>
      <c r="M1264">
        <v>3.17</v>
      </c>
    </row>
    <row r="1265" spans="1:13" x14ac:dyDescent="0.25">
      <c r="A1265">
        <v>2015</v>
      </c>
      <c r="B1265" t="s">
        <v>259</v>
      </c>
      <c r="C1265">
        <v>27019</v>
      </c>
      <c r="D1265" t="s">
        <v>271</v>
      </c>
      <c r="E1265" t="s">
        <v>261</v>
      </c>
      <c r="F1265" t="s">
        <v>262</v>
      </c>
      <c r="G1265" t="s">
        <v>267</v>
      </c>
      <c r="H1265">
        <v>10603.446188255501</v>
      </c>
      <c r="I1265" t="s">
        <v>264</v>
      </c>
      <c r="J1265" t="s">
        <v>265</v>
      </c>
      <c r="K1265">
        <v>98610</v>
      </c>
      <c r="L1265" t="s">
        <v>282</v>
      </c>
      <c r="M1265">
        <v>0.11</v>
      </c>
    </row>
    <row r="1266" spans="1:13" x14ac:dyDescent="0.25">
      <c r="A1266">
        <v>2015</v>
      </c>
      <c r="B1266" t="s">
        <v>259</v>
      </c>
      <c r="C1266">
        <v>27019</v>
      </c>
      <c r="D1266" t="s">
        <v>271</v>
      </c>
      <c r="E1266" t="s">
        <v>261</v>
      </c>
      <c r="F1266" t="s">
        <v>262</v>
      </c>
      <c r="G1266" t="s">
        <v>269</v>
      </c>
      <c r="H1266">
        <v>563.493144510859</v>
      </c>
      <c r="I1266" t="s">
        <v>264</v>
      </c>
      <c r="J1266" t="s">
        <v>265</v>
      </c>
      <c r="K1266">
        <v>98610</v>
      </c>
      <c r="L1266" t="s">
        <v>282</v>
      </c>
      <c r="M1266">
        <v>0.01</v>
      </c>
    </row>
    <row r="1267" spans="1:13" x14ac:dyDescent="0.25">
      <c r="A1267">
        <v>2015</v>
      </c>
      <c r="B1267" t="s">
        <v>259</v>
      </c>
      <c r="C1267">
        <v>27019</v>
      </c>
      <c r="D1267" t="s">
        <v>271</v>
      </c>
      <c r="E1267" t="s">
        <v>261</v>
      </c>
      <c r="F1267" t="s">
        <v>268</v>
      </c>
      <c r="G1267" t="s">
        <v>263</v>
      </c>
      <c r="H1267">
        <v>493.84472552163697</v>
      </c>
      <c r="I1267" t="s">
        <v>264</v>
      </c>
      <c r="J1267" t="s">
        <v>265</v>
      </c>
      <c r="K1267">
        <v>98610</v>
      </c>
      <c r="L1267" t="s">
        <v>282</v>
      </c>
      <c r="M1267">
        <v>0.01</v>
      </c>
    </row>
    <row r="1268" spans="1:13" x14ac:dyDescent="0.25">
      <c r="A1268">
        <v>2015</v>
      </c>
      <c r="B1268" t="s">
        <v>259</v>
      </c>
      <c r="C1268">
        <v>27019</v>
      </c>
      <c r="D1268" t="s">
        <v>271</v>
      </c>
      <c r="E1268" t="s">
        <v>261</v>
      </c>
      <c r="F1268" t="s">
        <v>268</v>
      </c>
      <c r="G1268" t="s">
        <v>267</v>
      </c>
      <c r="H1268">
        <v>3880.3649057592002</v>
      </c>
      <c r="I1268" t="s">
        <v>264</v>
      </c>
      <c r="J1268" t="s">
        <v>265</v>
      </c>
      <c r="K1268">
        <v>98610</v>
      </c>
      <c r="L1268" t="s">
        <v>282</v>
      </c>
      <c r="M1268">
        <v>0.04</v>
      </c>
    </row>
    <row r="1269" spans="1:13" x14ac:dyDescent="0.25">
      <c r="A1269">
        <v>2015</v>
      </c>
      <c r="B1269" t="s">
        <v>259</v>
      </c>
      <c r="C1269">
        <v>27019</v>
      </c>
      <c r="D1269" t="s">
        <v>271</v>
      </c>
      <c r="E1269" t="s">
        <v>261</v>
      </c>
      <c r="F1269" t="s">
        <v>268</v>
      </c>
      <c r="G1269" t="s">
        <v>269</v>
      </c>
      <c r="H1269">
        <v>152.77860553475</v>
      </c>
      <c r="I1269" t="s">
        <v>264</v>
      </c>
      <c r="J1269" t="s">
        <v>265</v>
      </c>
      <c r="K1269">
        <v>98610</v>
      </c>
      <c r="L1269" t="s">
        <v>282</v>
      </c>
      <c r="M1269">
        <v>0</v>
      </c>
    </row>
    <row r="1270" spans="1:13" x14ac:dyDescent="0.25">
      <c r="A1270">
        <v>2015</v>
      </c>
      <c r="B1270" t="s">
        <v>259</v>
      </c>
      <c r="C1270">
        <v>27019</v>
      </c>
      <c r="D1270" t="s">
        <v>271</v>
      </c>
      <c r="E1270" t="s">
        <v>261</v>
      </c>
      <c r="F1270" t="s">
        <v>270</v>
      </c>
      <c r="G1270" t="s">
        <v>263</v>
      </c>
      <c r="H1270">
        <v>17181.3555474924</v>
      </c>
      <c r="I1270" t="s">
        <v>264</v>
      </c>
      <c r="J1270" t="s">
        <v>265</v>
      </c>
      <c r="K1270">
        <v>98610</v>
      </c>
      <c r="L1270" t="s">
        <v>282</v>
      </c>
      <c r="M1270">
        <v>0.17</v>
      </c>
    </row>
    <row r="1271" spans="1:13" x14ac:dyDescent="0.25">
      <c r="A1271">
        <v>2015</v>
      </c>
      <c r="B1271" t="s">
        <v>259</v>
      </c>
      <c r="C1271">
        <v>27019</v>
      </c>
      <c r="D1271" t="s">
        <v>271</v>
      </c>
      <c r="E1271" t="s">
        <v>261</v>
      </c>
      <c r="F1271" t="s">
        <v>270</v>
      </c>
      <c r="G1271" t="s">
        <v>267</v>
      </c>
      <c r="H1271">
        <v>88007.782382205696</v>
      </c>
      <c r="I1271" t="s">
        <v>264</v>
      </c>
      <c r="J1271" t="s">
        <v>265</v>
      </c>
      <c r="K1271">
        <v>98610</v>
      </c>
      <c r="L1271" t="s">
        <v>282</v>
      </c>
      <c r="M1271">
        <v>0.89</v>
      </c>
    </row>
    <row r="1272" spans="1:13" x14ac:dyDescent="0.25">
      <c r="A1272">
        <v>2015</v>
      </c>
      <c r="B1272" t="s">
        <v>259</v>
      </c>
      <c r="C1272">
        <v>27019</v>
      </c>
      <c r="D1272" t="s">
        <v>271</v>
      </c>
      <c r="E1272" t="s">
        <v>261</v>
      </c>
      <c r="F1272" t="s">
        <v>270</v>
      </c>
      <c r="G1272" t="s">
        <v>269</v>
      </c>
      <c r="H1272">
        <v>81.640756524799002</v>
      </c>
      <c r="I1272" t="s">
        <v>264</v>
      </c>
      <c r="J1272" t="s">
        <v>265</v>
      </c>
      <c r="K1272">
        <v>98610</v>
      </c>
      <c r="L1272" t="s">
        <v>282</v>
      </c>
      <c r="M1272">
        <v>0</v>
      </c>
    </row>
    <row r="1273" spans="1:13" x14ac:dyDescent="0.25">
      <c r="A1273">
        <v>2015</v>
      </c>
      <c r="B1273" t="s">
        <v>259</v>
      </c>
      <c r="C1273">
        <v>27025</v>
      </c>
      <c r="D1273" t="s">
        <v>272</v>
      </c>
      <c r="E1273" t="s">
        <v>261</v>
      </c>
      <c r="F1273" t="s">
        <v>262</v>
      </c>
      <c r="G1273" t="s">
        <v>263</v>
      </c>
      <c r="H1273">
        <v>279337.98360562202</v>
      </c>
      <c r="I1273" t="s">
        <v>264</v>
      </c>
      <c r="J1273" t="s">
        <v>265</v>
      </c>
      <c r="K1273">
        <v>54144</v>
      </c>
      <c r="L1273" t="s">
        <v>282</v>
      </c>
      <c r="M1273">
        <v>5.16</v>
      </c>
    </row>
    <row r="1274" spans="1:13" x14ac:dyDescent="0.25">
      <c r="A1274">
        <v>2015</v>
      </c>
      <c r="B1274" t="s">
        <v>259</v>
      </c>
      <c r="C1274">
        <v>27025</v>
      </c>
      <c r="D1274" t="s">
        <v>272</v>
      </c>
      <c r="E1274" t="s">
        <v>261</v>
      </c>
      <c r="F1274" t="s">
        <v>262</v>
      </c>
      <c r="G1274" t="s">
        <v>267</v>
      </c>
      <c r="H1274">
        <v>16590.9209114552</v>
      </c>
      <c r="I1274" t="s">
        <v>264</v>
      </c>
      <c r="J1274" t="s">
        <v>265</v>
      </c>
      <c r="K1274">
        <v>54144</v>
      </c>
      <c r="L1274" t="s">
        <v>282</v>
      </c>
      <c r="M1274">
        <v>0.31</v>
      </c>
    </row>
    <row r="1275" spans="1:13" x14ac:dyDescent="0.25">
      <c r="A1275">
        <v>2015</v>
      </c>
      <c r="B1275" t="s">
        <v>259</v>
      </c>
      <c r="C1275">
        <v>27025</v>
      </c>
      <c r="D1275" t="s">
        <v>272</v>
      </c>
      <c r="E1275" t="s">
        <v>261</v>
      </c>
      <c r="F1275" t="s">
        <v>262</v>
      </c>
      <c r="G1275" t="s">
        <v>269</v>
      </c>
      <c r="H1275">
        <v>550.86146413070901</v>
      </c>
      <c r="I1275" t="s">
        <v>264</v>
      </c>
      <c r="J1275" t="s">
        <v>265</v>
      </c>
      <c r="K1275">
        <v>54144</v>
      </c>
      <c r="L1275" t="s">
        <v>282</v>
      </c>
      <c r="M1275">
        <v>0.01</v>
      </c>
    </row>
    <row r="1276" spans="1:13" x14ac:dyDescent="0.25">
      <c r="A1276">
        <v>2015</v>
      </c>
      <c r="B1276" t="s">
        <v>259</v>
      </c>
      <c r="C1276">
        <v>27025</v>
      </c>
      <c r="D1276" t="s">
        <v>272</v>
      </c>
      <c r="E1276" t="s">
        <v>261</v>
      </c>
      <c r="F1276" t="s">
        <v>268</v>
      </c>
      <c r="G1276" t="s">
        <v>263</v>
      </c>
      <c r="H1276">
        <v>446.373411505918</v>
      </c>
      <c r="I1276" t="s">
        <v>264</v>
      </c>
      <c r="J1276" t="s">
        <v>265</v>
      </c>
      <c r="K1276">
        <v>54144</v>
      </c>
      <c r="L1276" t="s">
        <v>282</v>
      </c>
      <c r="M1276">
        <v>0.01</v>
      </c>
    </row>
    <row r="1277" spans="1:13" x14ac:dyDescent="0.25">
      <c r="A1277">
        <v>2015</v>
      </c>
      <c r="B1277" t="s">
        <v>259</v>
      </c>
      <c r="C1277">
        <v>27025</v>
      </c>
      <c r="D1277" t="s">
        <v>272</v>
      </c>
      <c r="E1277" t="s">
        <v>261</v>
      </c>
      <c r="F1277" t="s">
        <v>268</v>
      </c>
      <c r="G1277" t="s">
        <v>267</v>
      </c>
      <c r="H1277">
        <v>3410.4022772940398</v>
      </c>
      <c r="I1277" t="s">
        <v>264</v>
      </c>
      <c r="J1277" t="s">
        <v>265</v>
      </c>
      <c r="K1277">
        <v>54144</v>
      </c>
      <c r="L1277" t="s">
        <v>282</v>
      </c>
      <c r="M1277">
        <v>0.06</v>
      </c>
    </row>
    <row r="1278" spans="1:13" x14ac:dyDescent="0.25">
      <c r="A1278">
        <v>2015</v>
      </c>
      <c r="B1278" t="s">
        <v>259</v>
      </c>
      <c r="C1278">
        <v>27025</v>
      </c>
      <c r="D1278" t="s">
        <v>272</v>
      </c>
      <c r="E1278" t="s">
        <v>261</v>
      </c>
      <c r="F1278" t="s">
        <v>268</v>
      </c>
      <c r="G1278" t="s">
        <v>269</v>
      </c>
      <c r="H1278">
        <v>84.853624502720905</v>
      </c>
      <c r="I1278" t="s">
        <v>264</v>
      </c>
      <c r="J1278" t="s">
        <v>265</v>
      </c>
      <c r="K1278">
        <v>54144</v>
      </c>
      <c r="L1278" t="s">
        <v>282</v>
      </c>
      <c r="M1278">
        <v>0</v>
      </c>
    </row>
    <row r="1279" spans="1:13" x14ac:dyDescent="0.25">
      <c r="A1279">
        <v>2015</v>
      </c>
      <c r="B1279" t="s">
        <v>259</v>
      </c>
      <c r="C1279">
        <v>27025</v>
      </c>
      <c r="D1279" t="s">
        <v>272</v>
      </c>
      <c r="E1279" t="s">
        <v>261</v>
      </c>
      <c r="F1279" t="s">
        <v>270</v>
      </c>
      <c r="G1279" t="s">
        <v>263</v>
      </c>
      <c r="H1279">
        <v>12126.2844733198</v>
      </c>
      <c r="I1279" t="s">
        <v>264</v>
      </c>
      <c r="J1279" t="s">
        <v>265</v>
      </c>
      <c r="K1279">
        <v>54144</v>
      </c>
      <c r="L1279" t="s">
        <v>282</v>
      </c>
      <c r="M1279">
        <v>0.22</v>
      </c>
    </row>
    <row r="1280" spans="1:13" x14ac:dyDescent="0.25">
      <c r="A1280">
        <v>2015</v>
      </c>
      <c r="B1280" t="s">
        <v>259</v>
      </c>
      <c r="C1280">
        <v>27025</v>
      </c>
      <c r="D1280" t="s">
        <v>272</v>
      </c>
      <c r="E1280" t="s">
        <v>261</v>
      </c>
      <c r="F1280" t="s">
        <v>270</v>
      </c>
      <c r="G1280" t="s">
        <v>267</v>
      </c>
      <c r="H1280">
        <v>78887.404070220698</v>
      </c>
      <c r="I1280" t="s">
        <v>264</v>
      </c>
      <c r="J1280" t="s">
        <v>265</v>
      </c>
      <c r="K1280">
        <v>54144</v>
      </c>
      <c r="L1280" t="s">
        <v>282</v>
      </c>
      <c r="M1280">
        <v>1.46</v>
      </c>
    </row>
    <row r="1281" spans="1:13" x14ac:dyDescent="0.25">
      <c r="A1281">
        <v>2015</v>
      </c>
      <c r="B1281" t="s">
        <v>259</v>
      </c>
      <c r="C1281">
        <v>27025</v>
      </c>
      <c r="D1281" t="s">
        <v>272</v>
      </c>
      <c r="E1281" t="s">
        <v>261</v>
      </c>
      <c r="F1281" t="s">
        <v>270</v>
      </c>
      <c r="G1281" t="s">
        <v>269</v>
      </c>
      <c r="H1281">
        <v>44.970767991058302</v>
      </c>
      <c r="I1281" t="s">
        <v>264</v>
      </c>
      <c r="J1281" t="s">
        <v>265</v>
      </c>
      <c r="K1281">
        <v>54144</v>
      </c>
      <c r="L1281" t="s">
        <v>282</v>
      </c>
      <c r="M1281">
        <v>0</v>
      </c>
    </row>
    <row r="1282" spans="1:13" x14ac:dyDescent="0.25">
      <c r="A1282">
        <v>2015</v>
      </c>
      <c r="B1282" t="s">
        <v>259</v>
      </c>
      <c r="C1282">
        <v>27037</v>
      </c>
      <c r="D1282" t="s">
        <v>273</v>
      </c>
      <c r="E1282" t="s">
        <v>261</v>
      </c>
      <c r="F1282" t="s">
        <v>262</v>
      </c>
      <c r="G1282" t="s">
        <v>263</v>
      </c>
      <c r="H1282">
        <v>1389021.8360462</v>
      </c>
      <c r="I1282" t="s">
        <v>264</v>
      </c>
      <c r="J1282" t="s">
        <v>265</v>
      </c>
      <c r="K1282">
        <v>414245</v>
      </c>
      <c r="L1282" t="s">
        <v>282</v>
      </c>
      <c r="M1282">
        <v>3.35</v>
      </c>
    </row>
    <row r="1283" spans="1:13" x14ac:dyDescent="0.25">
      <c r="A1283">
        <v>2015</v>
      </c>
      <c r="B1283" t="s">
        <v>259</v>
      </c>
      <c r="C1283">
        <v>27037</v>
      </c>
      <c r="D1283" t="s">
        <v>273</v>
      </c>
      <c r="E1283" t="s">
        <v>261</v>
      </c>
      <c r="F1283" t="s">
        <v>262</v>
      </c>
      <c r="G1283" t="s">
        <v>267</v>
      </c>
      <c r="H1283">
        <v>27076.995567230901</v>
      </c>
      <c r="I1283" t="s">
        <v>264</v>
      </c>
      <c r="J1283" t="s">
        <v>265</v>
      </c>
      <c r="K1283">
        <v>414245</v>
      </c>
      <c r="L1283" t="s">
        <v>282</v>
      </c>
      <c r="M1283">
        <v>7.0000000000000007E-2</v>
      </c>
    </row>
    <row r="1284" spans="1:13" x14ac:dyDescent="0.25">
      <c r="A1284">
        <v>2015</v>
      </c>
      <c r="B1284" t="s">
        <v>259</v>
      </c>
      <c r="C1284">
        <v>27037</v>
      </c>
      <c r="D1284" t="s">
        <v>273</v>
      </c>
      <c r="E1284" t="s">
        <v>261</v>
      </c>
      <c r="F1284" t="s">
        <v>262</v>
      </c>
      <c r="G1284" t="s">
        <v>269</v>
      </c>
      <c r="H1284">
        <v>2219.1162522786299</v>
      </c>
      <c r="I1284" t="s">
        <v>264</v>
      </c>
      <c r="J1284" t="s">
        <v>265</v>
      </c>
      <c r="K1284">
        <v>414245</v>
      </c>
      <c r="L1284" t="s">
        <v>282</v>
      </c>
      <c r="M1284">
        <v>0.01</v>
      </c>
    </row>
    <row r="1285" spans="1:13" x14ac:dyDescent="0.25">
      <c r="A1285">
        <v>2015</v>
      </c>
      <c r="B1285" t="s">
        <v>259</v>
      </c>
      <c r="C1285">
        <v>27037</v>
      </c>
      <c r="D1285" t="s">
        <v>273</v>
      </c>
      <c r="E1285" t="s">
        <v>261</v>
      </c>
      <c r="F1285" t="s">
        <v>268</v>
      </c>
      <c r="G1285" t="s">
        <v>263</v>
      </c>
      <c r="H1285">
        <v>1129.8529985345499</v>
      </c>
      <c r="I1285" t="s">
        <v>264</v>
      </c>
      <c r="J1285" t="s">
        <v>265</v>
      </c>
      <c r="K1285">
        <v>414245</v>
      </c>
      <c r="L1285" t="s">
        <v>282</v>
      </c>
      <c r="M1285">
        <v>0</v>
      </c>
    </row>
    <row r="1286" spans="1:13" x14ac:dyDescent="0.25">
      <c r="A1286">
        <v>2015</v>
      </c>
      <c r="B1286" t="s">
        <v>259</v>
      </c>
      <c r="C1286">
        <v>27037</v>
      </c>
      <c r="D1286" t="s">
        <v>273</v>
      </c>
      <c r="E1286" t="s">
        <v>261</v>
      </c>
      <c r="F1286" t="s">
        <v>268</v>
      </c>
      <c r="G1286" t="s">
        <v>267</v>
      </c>
      <c r="H1286">
        <v>19104.999982155001</v>
      </c>
      <c r="I1286" t="s">
        <v>264</v>
      </c>
      <c r="J1286" t="s">
        <v>265</v>
      </c>
      <c r="K1286">
        <v>414245</v>
      </c>
      <c r="L1286" t="s">
        <v>282</v>
      </c>
      <c r="M1286">
        <v>0.05</v>
      </c>
    </row>
    <row r="1287" spans="1:13" x14ac:dyDescent="0.25">
      <c r="A1287">
        <v>2015</v>
      </c>
      <c r="B1287" t="s">
        <v>259</v>
      </c>
      <c r="C1287">
        <v>27037</v>
      </c>
      <c r="D1287" t="s">
        <v>273</v>
      </c>
      <c r="E1287" t="s">
        <v>261</v>
      </c>
      <c r="F1287" t="s">
        <v>268</v>
      </c>
      <c r="G1287" t="s">
        <v>269</v>
      </c>
      <c r="H1287">
        <v>53.6075162262064</v>
      </c>
      <c r="I1287" t="s">
        <v>264</v>
      </c>
      <c r="J1287" t="s">
        <v>265</v>
      </c>
      <c r="K1287">
        <v>414245</v>
      </c>
      <c r="L1287" t="s">
        <v>282</v>
      </c>
      <c r="M1287">
        <v>0</v>
      </c>
    </row>
    <row r="1288" spans="1:13" x14ac:dyDescent="0.25">
      <c r="A1288">
        <v>2015</v>
      </c>
      <c r="B1288" t="s">
        <v>259</v>
      </c>
      <c r="C1288">
        <v>27037</v>
      </c>
      <c r="D1288" t="s">
        <v>273</v>
      </c>
      <c r="E1288" t="s">
        <v>261</v>
      </c>
      <c r="F1288" t="s">
        <v>270</v>
      </c>
      <c r="G1288" t="s">
        <v>263</v>
      </c>
      <c r="H1288">
        <v>83991.511874582298</v>
      </c>
      <c r="I1288" t="s">
        <v>264</v>
      </c>
      <c r="J1288" t="s">
        <v>265</v>
      </c>
      <c r="K1288">
        <v>414245</v>
      </c>
      <c r="L1288" t="s">
        <v>282</v>
      </c>
      <c r="M1288">
        <v>0.2</v>
      </c>
    </row>
    <row r="1289" spans="1:13" x14ac:dyDescent="0.25">
      <c r="A1289">
        <v>2015</v>
      </c>
      <c r="B1289" t="s">
        <v>259</v>
      </c>
      <c r="C1289">
        <v>27037</v>
      </c>
      <c r="D1289" t="s">
        <v>273</v>
      </c>
      <c r="E1289" t="s">
        <v>261</v>
      </c>
      <c r="F1289" t="s">
        <v>270</v>
      </c>
      <c r="G1289" t="s">
        <v>267</v>
      </c>
      <c r="H1289">
        <v>402237.66432837502</v>
      </c>
      <c r="I1289" t="s">
        <v>264</v>
      </c>
      <c r="J1289" t="s">
        <v>265</v>
      </c>
      <c r="K1289">
        <v>414245</v>
      </c>
      <c r="L1289" t="s">
        <v>282</v>
      </c>
      <c r="M1289">
        <v>0.97</v>
      </c>
    </row>
    <row r="1290" spans="1:13" x14ac:dyDescent="0.25">
      <c r="A1290">
        <v>2015</v>
      </c>
      <c r="B1290" t="s">
        <v>259</v>
      </c>
      <c r="C1290">
        <v>27037</v>
      </c>
      <c r="D1290" t="s">
        <v>273</v>
      </c>
      <c r="E1290" t="s">
        <v>261</v>
      </c>
      <c r="F1290" t="s">
        <v>270</v>
      </c>
      <c r="G1290" t="s">
        <v>269</v>
      </c>
      <c r="H1290">
        <v>286.06602705738698</v>
      </c>
      <c r="I1290" t="s">
        <v>264</v>
      </c>
      <c r="J1290" t="s">
        <v>265</v>
      </c>
      <c r="K1290">
        <v>414245</v>
      </c>
      <c r="L1290" t="s">
        <v>282</v>
      </c>
      <c r="M1290">
        <v>0</v>
      </c>
    </row>
    <row r="1291" spans="1:13" x14ac:dyDescent="0.25">
      <c r="A1291">
        <v>2015</v>
      </c>
      <c r="B1291" t="s">
        <v>259</v>
      </c>
      <c r="C1291">
        <v>27053</v>
      </c>
      <c r="D1291" t="s">
        <v>274</v>
      </c>
      <c r="E1291" t="s">
        <v>261</v>
      </c>
      <c r="F1291" t="s">
        <v>262</v>
      </c>
      <c r="G1291" t="s">
        <v>263</v>
      </c>
      <c r="H1291">
        <v>3739745.0874542901</v>
      </c>
      <c r="I1291" t="s">
        <v>264</v>
      </c>
      <c r="J1291" t="s">
        <v>265</v>
      </c>
      <c r="K1291">
        <v>1222868</v>
      </c>
      <c r="L1291" t="s">
        <v>282</v>
      </c>
      <c r="M1291">
        <v>3.06</v>
      </c>
    </row>
    <row r="1292" spans="1:13" x14ac:dyDescent="0.25">
      <c r="A1292">
        <v>2015</v>
      </c>
      <c r="B1292" t="s">
        <v>259</v>
      </c>
      <c r="C1292">
        <v>27053</v>
      </c>
      <c r="D1292" t="s">
        <v>274</v>
      </c>
      <c r="E1292" t="s">
        <v>261</v>
      </c>
      <c r="F1292" t="s">
        <v>262</v>
      </c>
      <c r="G1292" t="s">
        <v>267</v>
      </c>
      <c r="H1292">
        <v>51395.672795061197</v>
      </c>
      <c r="I1292" t="s">
        <v>264</v>
      </c>
      <c r="J1292" t="s">
        <v>265</v>
      </c>
      <c r="K1292">
        <v>1222868</v>
      </c>
      <c r="L1292" t="s">
        <v>282</v>
      </c>
      <c r="M1292">
        <v>0.04</v>
      </c>
    </row>
    <row r="1293" spans="1:13" x14ac:dyDescent="0.25">
      <c r="A1293">
        <v>2015</v>
      </c>
      <c r="B1293" t="s">
        <v>259</v>
      </c>
      <c r="C1293">
        <v>27053</v>
      </c>
      <c r="D1293" t="s">
        <v>274</v>
      </c>
      <c r="E1293" t="s">
        <v>261</v>
      </c>
      <c r="F1293" t="s">
        <v>262</v>
      </c>
      <c r="G1293" t="s">
        <v>269</v>
      </c>
      <c r="H1293">
        <v>4810.2467916679798</v>
      </c>
      <c r="I1293" t="s">
        <v>264</v>
      </c>
      <c r="J1293" t="s">
        <v>265</v>
      </c>
      <c r="K1293">
        <v>1222868</v>
      </c>
      <c r="L1293" t="s">
        <v>282</v>
      </c>
      <c r="M1293">
        <v>0</v>
      </c>
    </row>
    <row r="1294" spans="1:13" x14ac:dyDescent="0.25">
      <c r="A1294">
        <v>2015</v>
      </c>
      <c r="B1294" t="s">
        <v>259</v>
      </c>
      <c r="C1294">
        <v>27053</v>
      </c>
      <c r="D1294" t="s">
        <v>274</v>
      </c>
      <c r="E1294" t="s">
        <v>261</v>
      </c>
      <c r="F1294" t="s">
        <v>268</v>
      </c>
      <c r="G1294" t="s">
        <v>263</v>
      </c>
      <c r="H1294">
        <v>5406.1847057549703</v>
      </c>
      <c r="I1294" t="s">
        <v>264</v>
      </c>
      <c r="J1294" t="s">
        <v>265</v>
      </c>
      <c r="K1294">
        <v>1222868</v>
      </c>
      <c r="L1294" t="s">
        <v>282</v>
      </c>
      <c r="M1294">
        <v>0</v>
      </c>
    </row>
    <row r="1295" spans="1:13" x14ac:dyDescent="0.25">
      <c r="A1295">
        <v>2015</v>
      </c>
      <c r="B1295" t="s">
        <v>259</v>
      </c>
      <c r="C1295">
        <v>27053</v>
      </c>
      <c r="D1295" t="s">
        <v>274</v>
      </c>
      <c r="E1295" t="s">
        <v>261</v>
      </c>
      <c r="F1295" t="s">
        <v>268</v>
      </c>
      <c r="G1295" t="s">
        <v>267</v>
      </c>
      <c r="H1295">
        <v>52801.534531393198</v>
      </c>
      <c r="I1295" t="s">
        <v>264</v>
      </c>
      <c r="J1295" t="s">
        <v>265</v>
      </c>
      <c r="K1295">
        <v>1222868</v>
      </c>
      <c r="L1295" t="s">
        <v>282</v>
      </c>
      <c r="M1295">
        <v>0.04</v>
      </c>
    </row>
    <row r="1296" spans="1:13" x14ac:dyDescent="0.25">
      <c r="A1296">
        <v>2015</v>
      </c>
      <c r="B1296" t="s">
        <v>259</v>
      </c>
      <c r="C1296">
        <v>27053</v>
      </c>
      <c r="D1296" t="s">
        <v>274</v>
      </c>
      <c r="E1296" t="s">
        <v>261</v>
      </c>
      <c r="F1296" t="s">
        <v>268</v>
      </c>
      <c r="G1296" t="s">
        <v>269</v>
      </c>
      <c r="H1296">
        <v>10.433286721321601</v>
      </c>
      <c r="I1296" t="s">
        <v>264</v>
      </c>
      <c r="J1296" t="s">
        <v>265</v>
      </c>
      <c r="K1296">
        <v>1222868</v>
      </c>
      <c r="L1296" t="s">
        <v>282</v>
      </c>
      <c r="M1296">
        <v>0</v>
      </c>
    </row>
    <row r="1297" spans="1:13" x14ac:dyDescent="0.25">
      <c r="A1297">
        <v>2015</v>
      </c>
      <c r="B1297" t="s">
        <v>259</v>
      </c>
      <c r="C1297">
        <v>27053</v>
      </c>
      <c r="D1297" t="s">
        <v>274</v>
      </c>
      <c r="E1297" t="s">
        <v>261</v>
      </c>
      <c r="F1297" t="s">
        <v>270</v>
      </c>
      <c r="G1297" t="s">
        <v>263</v>
      </c>
      <c r="H1297">
        <v>349651.41406639601</v>
      </c>
      <c r="I1297" t="s">
        <v>264</v>
      </c>
      <c r="J1297" t="s">
        <v>265</v>
      </c>
      <c r="K1297">
        <v>1222868</v>
      </c>
      <c r="L1297" t="s">
        <v>282</v>
      </c>
      <c r="M1297">
        <v>0.28999999999999998</v>
      </c>
    </row>
    <row r="1298" spans="1:13" x14ac:dyDescent="0.25">
      <c r="A1298">
        <v>2015</v>
      </c>
      <c r="B1298" t="s">
        <v>259</v>
      </c>
      <c r="C1298">
        <v>27053</v>
      </c>
      <c r="D1298" t="s">
        <v>274</v>
      </c>
      <c r="E1298" t="s">
        <v>261</v>
      </c>
      <c r="F1298" t="s">
        <v>270</v>
      </c>
      <c r="G1298" t="s">
        <v>267</v>
      </c>
      <c r="H1298">
        <v>1065018.1043684799</v>
      </c>
      <c r="I1298" t="s">
        <v>264</v>
      </c>
      <c r="J1298" t="s">
        <v>265</v>
      </c>
      <c r="K1298">
        <v>1222868</v>
      </c>
      <c r="L1298" t="s">
        <v>282</v>
      </c>
      <c r="M1298">
        <v>0.87</v>
      </c>
    </row>
    <row r="1299" spans="1:13" x14ac:dyDescent="0.25">
      <c r="A1299">
        <v>2015</v>
      </c>
      <c r="B1299" t="s">
        <v>259</v>
      </c>
      <c r="C1299">
        <v>27053</v>
      </c>
      <c r="D1299" t="s">
        <v>274</v>
      </c>
      <c r="E1299" t="s">
        <v>261</v>
      </c>
      <c r="F1299" t="s">
        <v>270</v>
      </c>
      <c r="G1299" t="s">
        <v>269</v>
      </c>
      <c r="H1299">
        <v>939.09531174799599</v>
      </c>
      <c r="I1299" t="s">
        <v>264</v>
      </c>
      <c r="J1299" t="s">
        <v>265</v>
      </c>
      <c r="K1299">
        <v>1222868</v>
      </c>
      <c r="L1299" t="s">
        <v>282</v>
      </c>
      <c r="M1299">
        <v>0</v>
      </c>
    </row>
    <row r="1300" spans="1:13" x14ac:dyDescent="0.25">
      <c r="A1300">
        <v>2015</v>
      </c>
      <c r="B1300" t="s">
        <v>259</v>
      </c>
      <c r="C1300">
        <v>27123</v>
      </c>
      <c r="D1300" t="s">
        <v>275</v>
      </c>
      <c r="E1300" t="s">
        <v>261</v>
      </c>
      <c r="F1300" t="s">
        <v>262</v>
      </c>
      <c r="G1300" t="s">
        <v>263</v>
      </c>
      <c r="H1300">
        <v>1576085.93277375</v>
      </c>
      <c r="I1300" t="s">
        <v>264</v>
      </c>
      <c r="J1300" t="s">
        <v>265</v>
      </c>
      <c r="K1300">
        <v>536838</v>
      </c>
      <c r="L1300" t="s">
        <v>282</v>
      </c>
      <c r="M1300">
        <v>2.94</v>
      </c>
    </row>
    <row r="1301" spans="1:13" x14ac:dyDescent="0.25">
      <c r="A1301">
        <v>2015</v>
      </c>
      <c r="B1301" t="s">
        <v>259</v>
      </c>
      <c r="C1301">
        <v>27123</v>
      </c>
      <c r="D1301" t="s">
        <v>275</v>
      </c>
      <c r="E1301" t="s">
        <v>261</v>
      </c>
      <c r="F1301" t="s">
        <v>262</v>
      </c>
      <c r="G1301" t="s">
        <v>267</v>
      </c>
      <c r="H1301">
        <v>20043.429956176798</v>
      </c>
      <c r="I1301" t="s">
        <v>264</v>
      </c>
      <c r="J1301" t="s">
        <v>265</v>
      </c>
      <c r="K1301">
        <v>536838</v>
      </c>
      <c r="L1301" t="s">
        <v>282</v>
      </c>
      <c r="M1301">
        <v>0.04</v>
      </c>
    </row>
    <row r="1302" spans="1:13" x14ac:dyDescent="0.25">
      <c r="A1302">
        <v>2015</v>
      </c>
      <c r="B1302" t="s">
        <v>259</v>
      </c>
      <c r="C1302">
        <v>27123</v>
      </c>
      <c r="D1302" t="s">
        <v>275</v>
      </c>
      <c r="E1302" t="s">
        <v>261</v>
      </c>
      <c r="F1302" t="s">
        <v>262</v>
      </c>
      <c r="G1302" t="s">
        <v>269</v>
      </c>
      <c r="H1302">
        <v>1837.2795004105501</v>
      </c>
      <c r="I1302" t="s">
        <v>264</v>
      </c>
      <c r="J1302" t="s">
        <v>265</v>
      </c>
      <c r="K1302">
        <v>536838</v>
      </c>
      <c r="L1302" t="s">
        <v>282</v>
      </c>
      <c r="M1302">
        <v>0</v>
      </c>
    </row>
    <row r="1303" spans="1:13" x14ac:dyDescent="0.25">
      <c r="A1303">
        <v>2015</v>
      </c>
      <c r="B1303" t="s">
        <v>259</v>
      </c>
      <c r="C1303">
        <v>27123</v>
      </c>
      <c r="D1303" t="s">
        <v>275</v>
      </c>
      <c r="E1303" t="s">
        <v>261</v>
      </c>
      <c r="F1303" t="s">
        <v>268</v>
      </c>
      <c r="G1303" t="s">
        <v>263</v>
      </c>
      <c r="H1303">
        <v>2771.4440537732698</v>
      </c>
      <c r="I1303" t="s">
        <v>264</v>
      </c>
      <c r="J1303" t="s">
        <v>265</v>
      </c>
      <c r="K1303">
        <v>536838</v>
      </c>
      <c r="L1303" t="s">
        <v>282</v>
      </c>
      <c r="M1303">
        <v>0.01</v>
      </c>
    </row>
    <row r="1304" spans="1:13" x14ac:dyDescent="0.25">
      <c r="A1304">
        <v>2015</v>
      </c>
      <c r="B1304" t="s">
        <v>259</v>
      </c>
      <c r="C1304">
        <v>27123</v>
      </c>
      <c r="D1304" t="s">
        <v>275</v>
      </c>
      <c r="E1304" t="s">
        <v>261</v>
      </c>
      <c r="F1304" t="s">
        <v>268</v>
      </c>
      <c r="G1304" t="s">
        <v>267</v>
      </c>
      <c r="H1304">
        <v>20194.8634442453</v>
      </c>
      <c r="I1304" t="s">
        <v>264</v>
      </c>
      <c r="J1304" t="s">
        <v>265</v>
      </c>
      <c r="K1304">
        <v>536838</v>
      </c>
      <c r="L1304" t="s">
        <v>282</v>
      </c>
      <c r="M1304">
        <v>0.04</v>
      </c>
    </row>
    <row r="1305" spans="1:13" x14ac:dyDescent="0.25">
      <c r="A1305">
        <v>2015</v>
      </c>
      <c r="B1305" t="s">
        <v>259</v>
      </c>
      <c r="C1305">
        <v>27123</v>
      </c>
      <c r="D1305" t="s">
        <v>275</v>
      </c>
      <c r="E1305" t="s">
        <v>261</v>
      </c>
      <c r="F1305" t="s">
        <v>268</v>
      </c>
      <c r="G1305" t="s">
        <v>269</v>
      </c>
      <c r="H1305">
        <v>102.546045848643</v>
      </c>
      <c r="I1305" t="s">
        <v>264</v>
      </c>
      <c r="J1305" t="s">
        <v>265</v>
      </c>
      <c r="K1305">
        <v>536838</v>
      </c>
      <c r="L1305" t="s">
        <v>282</v>
      </c>
      <c r="M1305">
        <v>0</v>
      </c>
    </row>
    <row r="1306" spans="1:13" x14ac:dyDescent="0.25">
      <c r="A1306">
        <v>2015</v>
      </c>
      <c r="B1306" t="s">
        <v>259</v>
      </c>
      <c r="C1306">
        <v>27123</v>
      </c>
      <c r="D1306" t="s">
        <v>275</v>
      </c>
      <c r="E1306" t="s">
        <v>261</v>
      </c>
      <c r="F1306" t="s">
        <v>270</v>
      </c>
      <c r="G1306" t="s">
        <v>263</v>
      </c>
      <c r="H1306">
        <v>141409.53043915101</v>
      </c>
      <c r="I1306" t="s">
        <v>264</v>
      </c>
      <c r="J1306" t="s">
        <v>265</v>
      </c>
      <c r="K1306">
        <v>536838</v>
      </c>
      <c r="L1306" t="s">
        <v>282</v>
      </c>
      <c r="M1306">
        <v>0.26</v>
      </c>
    </row>
    <row r="1307" spans="1:13" x14ac:dyDescent="0.25">
      <c r="A1307">
        <v>2015</v>
      </c>
      <c r="B1307" t="s">
        <v>259</v>
      </c>
      <c r="C1307">
        <v>27123</v>
      </c>
      <c r="D1307" t="s">
        <v>275</v>
      </c>
      <c r="E1307" t="s">
        <v>261</v>
      </c>
      <c r="F1307" t="s">
        <v>270</v>
      </c>
      <c r="G1307" t="s">
        <v>267</v>
      </c>
      <c r="H1307">
        <v>451358.41596409102</v>
      </c>
      <c r="I1307" t="s">
        <v>264</v>
      </c>
      <c r="J1307" t="s">
        <v>265</v>
      </c>
      <c r="K1307">
        <v>536838</v>
      </c>
      <c r="L1307" t="s">
        <v>282</v>
      </c>
      <c r="M1307">
        <v>0.84</v>
      </c>
    </row>
    <row r="1308" spans="1:13" x14ac:dyDescent="0.25">
      <c r="A1308">
        <v>2015</v>
      </c>
      <c r="B1308" t="s">
        <v>259</v>
      </c>
      <c r="C1308">
        <v>27123</v>
      </c>
      <c r="D1308" t="s">
        <v>275</v>
      </c>
      <c r="E1308" t="s">
        <v>261</v>
      </c>
      <c r="F1308" t="s">
        <v>270</v>
      </c>
      <c r="G1308" t="s">
        <v>269</v>
      </c>
      <c r="H1308">
        <v>474.44178501202299</v>
      </c>
      <c r="I1308" t="s">
        <v>264</v>
      </c>
      <c r="J1308" t="s">
        <v>265</v>
      </c>
      <c r="K1308">
        <v>536838</v>
      </c>
      <c r="L1308" t="s">
        <v>282</v>
      </c>
      <c r="M1308">
        <v>0</v>
      </c>
    </row>
    <row r="1309" spans="1:13" x14ac:dyDescent="0.25">
      <c r="A1309">
        <v>2015</v>
      </c>
      <c r="B1309" t="s">
        <v>259</v>
      </c>
      <c r="C1309">
        <v>27139</v>
      </c>
      <c r="D1309" t="s">
        <v>276</v>
      </c>
      <c r="E1309" t="s">
        <v>261</v>
      </c>
      <c r="F1309" t="s">
        <v>262</v>
      </c>
      <c r="G1309" t="s">
        <v>263</v>
      </c>
      <c r="H1309">
        <v>458821.03875153098</v>
      </c>
      <c r="I1309" t="s">
        <v>264</v>
      </c>
      <c r="J1309" t="s">
        <v>265</v>
      </c>
      <c r="K1309">
        <v>141372</v>
      </c>
      <c r="L1309" t="s">
        <v>282</v>
      </c>
      <c r="M1309">
        <v>3.25</v>
      </c>
    </row>
    <row r="1310" spans="1:13" x14ac:dyDescent="0.25">
      <c r="A1310">
        <v>2015</v>
      </c>
      <c r="B1310" t="s">
        <v>259</v>
      </c>
      <c r="C1310">
        <v>27139</v>
      </c>
      <c r="D1310" t="s">
        <v>276</v>
      </c>
      <c r="E1310" t="s">
        <v>261</v>
      </c>
      <c r="F1310" t="s">
        <v>262</v>
      </c>
      <c r="G1310" t="s">
        <v>267</v>
      </c>
      <c r="H1310">
        <v>15109.7224998069</v>
      </c>
      <c r="I1310" t="s">
        <v>264</v>
      </c>
      <c r="J1310" t="s">
        <v>265</v>
      </c>
      <c r="K1310">
        <v>141372</v>
      </c>
      <c r="L1310" t="s">
        <v>282</v>
      </c>
      <c r="M1310">
        <v>0.11</v>
      </c>
    </row>
    <row r="1311" spans="1:13" x14ac:dyDescent="0.25">
      <c r="A1311">
        <v>2015</v>
      </c>
      <c r="B1311" t="s">
        <v>259</v>
      </c>
      <c r="C1311">
        <v>27139</v>
      </c>
      <c r="D1311" t="s">
        <v>276</v>
      </c>
      <c r="E1311" t="s">
        <v>261</v>
      </c>
      <c r="F1311" t="s">
        <v>262</v>
      </c>
      <c r="G1311" t="s">
        <v>269</v>
      </c>
      <c r="H1311">
        <v>847.14504750676099</v>
      </c>
      <c r="I1311" t="s">
        <v>264</v>
      </c>
      <c r="J1311" t="s">
        <v>265</v>
      </c>
      <c r="K1311">
        <v>141372</v>
      </c>
      <c r="L1311" t="s">
        <v>282</v>
      </c>
      <c r="M1311">
        <v>0.01</v>
      </c>
    </row>
    <row r="1312" spans="1:13" x14ac:dyDescent="0.25">
      <c r="A1312">
        <v>2015</v>
      </c>
      <c r="B1312" t="s">
        <v>259</v>
      </c>
      <c r="C1312">
        <v>27139</v>
      </c>
      <c r="D1312" t="s">
        <v>276</v>
      </c>
      <c r="E1312" t="s">
        <v>261</v>
      </c>
      <c r="F1312" t="s">
        <v>268</v>
      </c>
      <c r="G1312" t="s">
        <v>263</v>
      </c>
      <c r="H1312">
        <v>827.57684063570798</v>
      </c>
      <c r="I1312" t="s">
        <v>264</v>
      </c>
      <c r="J1312" t="s">
        <v>265</v>
      </c>
      <c r="K1312">
        <v>141372</v>
      </c>
      <c r="L1312" t="s">
        <v>282</v>
      </c>
      <c r="M1312">
        <v>0.01</v>
      </c>
    </row>
    <row r="1313" spans="1:13" x14ac:dyDescent="0.25">
      <c r="A1313">
        <v>2015</v>
      </c>
      <c r="B1313" t="s">
        <v>259</v>
      </c>
      <c r="C1313">
        <v>27139</v>
      </c>
      <c r="D1313" t="s">
        <v>276</v>
      </c>
      <c r="E1313" t="s">
        <v>261</v>
      </c>
      <c r="F1313" t="s">
        <v>268</v>
      </c>
      <c r="G1313" t="s">
        <v>267</v>
      </c>
      <c r="H1313">
        <v>5821.8371644010203</v>
      </c>
      <c r="I1313" t="s">
        <v>264</v>
      </c>
      <c r="J1313" t="s">
        <v>265</v>
      </c>
      <c r="K1313">
        <v>141372</v>
      </c>
      <c r="L1313" t="s">
        <v>282</v>
      </c>
      <c r="M1313">
        <v>0.04</v>
      </c>
    </row>
    <row r="1314" spans="1:13" x14ac:dyDescent="0.25">
      <c r="A1314">
        <v>2015</v>
      </c>
      <c r="B1314" t="s">
        <v>259</v>
      </c>
      <c r="C1314">
        <v>27139</v>
      </c>
      <c r="D1314" t="s">
        <v>276</v>
      </c>
      <c r="E1314" t="s">
        <v>261</v>
      </c>
      <c r="F1314" t="s">
        <v>268</v>
      </c>
      <c r="G1314" t="s">
        <v>269</v>
      </c>
      <c r="H1314">
        <v>73.623283435197195</v>
      </c>
      <c r="I1314" t="s">
        <v>264</v>
      </c>
      <c r="J1314" t="s">
        <v>265</v>
      </c>
      <c r="K1314">
        <v>141372</v>
      </c>
      <c r="L1314" t="s">
        <v>282</v>
      </c>
      <c r="M1314">
        <v>0</v>
      </c>
    </row>
    <row r="1315" spans="1:13" x14ac:dyDescent="0.25">
      <c r="A1315">
        <v>2015</v>
      </c>
      <c r="B1315" t="s">
        <v>259</v>
      </c>
      <c r="C1315">
        <v>27139</v>
      </c>
      <c r="D1315" t="s">
        <v>276</v>
      </c>
      <c r="E1315" t="s">
        <v>261</v>
      </c>
      <c r="F1315" t="s">
        <v>270</v>
      </c>
      <c r="G1315" t="s">
        <v>263</v>
      </c>
      <c r="H1315">
        <v>27808.6969456796</v>
      </c>
      <c r="I1315" t="s">
        <v>264</v>
      </c>
      <c r="J1315" t="s">
        <v>265</v>
      </c>
      <c r="K1315">
        <v>141372</v>
      </c>
      <c r="L1315" t="s">
        <v>282</v>
      </c>
      <c r="M1315">
        <v>0.2</v>
      </c>
    </row>
    <row r="1316" spans="1:13" x14ac:dyDescent="0.25">
      <c r="A1316">
        <v>2015</v>
      </c>
      <c r="B1316" t="s">
        <v>259</v>
      </c>
      <c r="C1316">
        <v>27139</v>
      </c>
      <c r="D1316" t="s">
        <v>276</v>
      </c>
      <c r="E1316" t="s">
        <v>261</v>
      </c>
      <c r="F1316" t="s">
        <v>270</v>
      </c>
      <c r="G1316" t="s">
        <v>267</v>
      </c>
      <c r="H1316">
        <v>129701.992634111</v>
      </c>
      <c r="I1316" t="s">
        <v>264</v>
      </c>
      <c r="J1316" t="s">
        <v>265</v>
      </c>
      <c r="K1316">
        <v>141372</v>
      </c>
      <c r="L1316" t="s">
        <v>282</v>
      </c>
      <c r="M1316">
        <v>0.92</v>
      </c>
    </row>
    <row r="1317" spans="1:13" x14ac:dyDescent="0.25">
      <c r="A1317">
        <v>2015</v>
      </c>
      <c r="B1317" t="s">
        <v>259</v>
      </c>
      <c r="C1317">
        <v>27139</v>
      </c>
      <c r="D1317" t="s">
        <v>276</v>
      </c>
      <c r="E1317" t="s">
        <v>261</v>
      </c>
      <c r="F1317" t="s">
        <v>270</v>
      </c>
      <c r="G1317" t="s">
        <v>269</v>
      </c>
      <c r="H1317">
        <v>96.482503344207501</v>
      </c>
      <c r="I1317" t="s">
        <v>264</v>
      </c>
      <c r="J1317" t="s">
        <v>265</v>
      </c>
      <c r="K1317">
        <v>141372</v>
      </c>
      <c r="L1317" t="s">
        <v>282</v>
      </c>
      <c r="M1317">
        <v>0</v>
      </c>
    </row>
    <row r="1318" spans="1:13" x14ac:dyDescent="0.25">
      <c r="A1318">
        <v>2015</v>
      </c>
      <c r="B1318" t="s">
        <v>259</v>
      </c>
      <c r="C1318">
        <v>27141</v>
      </c>
      <c r="D1318" t="s">
        <v>277</v>
      </c>
      <c r="E1318" t="s">
        <v>261</v>
      </c>
      <c r="F1318" t="s">
        <v>262</v>
      </c>
      <c r="G1318" t="s">
        <v>263</v>
      </c>
      <c r="H1318">
        <v>298913.45819134801</v>
      </c>
      <c r="I1318" t="s">
        <v>264</v>
      </c>
      <c r="J1318" t="s">
        <v>265</v>
      </c>
      <c r="K1318">
        <v>91441</v>
      </c>
      <c r="L1318" t="s">
        <v>282</v>
      </c>
      <c r="M1318">
        <v>3.27</v>
      </c>
    </row>
    <row r="1319" spans="1:13" x14ac:dyDescent="0.25">
      <c r="A1319">
        <v>2015</v>
      </c>
      <c r="B1319" t="s">
        <v>259</v>
      </c>
      <c r="C1319">
        <v>27141</v>
      </c>
      <c r="D1319" t="s">
        <v>277</v>
      </c>
      <c r="E1319" t="s">
        <v>261</v>
      </c>
      <c r="F1319" t="s">
        <v>262</v>
      </c>
      <c r="G1319" t="s">
        <v>267</v>
      </c>
      <c r="H1319">
        <v>15341.7390792807</v>
      </c>
      <c r="I1319" t="s">
        <v>264</v>
      </c>
      <c r="J1319" t="s">
        <v>265</v>
      </c>
      <c r="K1319">
        <v>91441</v>
      </c>
      <c r="L1319" t="s">
        <v>282</v>
      </c>
      <c r="M1319">
        <v>0.17</v>
      </c>
    </row>
    <row r="1320" spans="1:13" x14ac:dyDescent="0.25">
      <c r="A1320">
        <v>2015</v>
      </c>
      <c r="B1320" t="s">
        <v>259</v>
      </c>
      <c r="C1320">
        <v>27141</v>
      </c>
      <c r="D1320" t="s">
        <v>277</v>
      </c>
      <c r="E1320" t="s">
        <v>261</v>
      </c>
      <c r="F1320" t="s">
        <v>262</v>
      </c>
      <c r="G1320" t="s">
        <v>269</v>
      </c>
      <c r="H1320">
        <v>598.80702810071</v>
      </c>
      <c r="I1320" t="s">
        <v>264</v>
      </c>
      <c r="J1320" t="s">
        <v>265</v>
      </c>
      <c r="K1320">
        <v>91441</v>
      </c>
      <c r="L1320" t="s">
        <v>282</v>
      </c>
      <c r="M1320">
        <v>0.01</v>
      </c>
    </row>
    <row r="1321" spans="1:13" x14ac:dyDescent="0.25">
      <c r="A1321">
        <v>2015</v>
      </c>
      <c r="B1321" t="s">
        <v>259</v>
      </c>
      <c r="C1321">
        <v>27141</v>
      </c>
      <c r="D1321" t="s">
        <v>277</v>
      </c>
      <c r="E1321" t="s">
        <v>261</v>
      </c>
      <c r="F1321" t="s">
        <v>268</v>
      </c>
      <c r="G1321" t="s">
        <v>263</v>
      </c>
      <c r="H1321">
        <v>223.05583524778501</v>
      </c>
      <c r="I1321" t="s">
        <v>264</v>
      </c>
      <c r="J1321" t="s">
        <v>265</v>
      </c>
      <c r="K1321">
        <v>91441</v>
      </c>
      <c r="L1321" t="s">
        <v>282</v>
      </c>
      <c r="M1321">
        <v>0</v>
      </c>
    </row>
    <row r="1322" spans="1:13" x14ac:dyDescent="0.25">
      <c r="A1322">
        <v>2015</v>
      </c>
      <c r="B1322" t="s">
        <v>259</v>
      </c>
      <c r="C1322">
        <v>27141</v>
      </c>
      <c r="D1322" t="s">
        <v>277</v>
      </c>
      <c r="E1322" t="s">
        <v>261</v>
      </c>
      <c r="F1322" t="s">
        <v>268</v>
      </c>
      <c r="G1322" t="s">
        <v>267</v>
      </c>
      <c r="H1322">
        <v>3871.3425649228202</v>
      </c>
      <c r="I1322" t="s">
        <v>264</v>
      </c>
      <c r="J1322" t="s">
        <v>265</v>
      </c>
      <c r="K1322">
        <v>91441</v>
      </c>
      <c r="L1322" t="s">
        <v>282</v>
      </c>
      <c r="M1322">
        <v>0.04</v>
      </c>
    </row>
    <row r="1323" spans="1:13" x14ac:dyDescent="0.25">
      <c r="A1323">
        <v>2015</v>
      </c>
      <c r="B1323" t="s">
        <v>259</v>
      </c>
      <c r="C1323">
        <v>27141</v>
      </c>
      <c r="D1323" t="s">
        <v>277</v>
      </c>
      <c r="E1323" t="s">
        <v>261</v>
      </c>
      <c r="F1323" t="s">
        <v>268</v>
      </c>
      <c r="G1323" t="s">
        <v>269</v>
      </c>
      <c r="H1323">
        <v>68.586216106146793</v>
      </c>
      <c r="I1323" t="s">
        <v>264</v>
      </c>
      <c r="J1323" t="s">
        <v>265</v>
      </c>
      <c r="K1323">
        <v>91441</v>
      </c>
      <c r="L1323" t="s">
        <v>282</v>
      </c>
      <c r="M1323">
        <v>0</v>
      </c>
    </row>
    <row r="1324" spans="1:13" x14ac:dyDescent="0.25">
      <c r="A1324">
        <v>2015</v>
      </c>
      <c r="B1324" t="s">
        <v>259</v>
      </c>
      <c r="C1324">
        <v>27141</v>
      </c>
      <c r="D1324" t="s">
        <v>277</v>
      </c>
      <c r="E1324" t="s">
        <v>261</v>
      </c>
      <c r="F1324" t="s">
        <v>270</v>
      </c>
      <c r="G1324" t="s">
        <v>263</v>
      </c>
      <c r="H1324">
        <v>16746.822288646101</v>
      </c>
      <c r="I1324" t="s">
        <v>264</v>
      </c>
      <c r="J1324" t="s">
        <v>265</v>
      </c>
      <c r="K1324">
        <v>91441</v>
      </c>
      <c r="L1324" t="s">
        <v>282</v>
      </c>
      <c r="M1324">
        <v>0.18</v>
      </c>
    </row>
    <row r="1325" spans="1:13" x14ac:dyDescent="0.25">
      <c r="A1325">
        <v>2015</v>
      </c>
      <c r="B1325" t="s">
        <v>259</v>
      </c>
      <c r="C1325">
        <v>27141</v>
      </c>
      <c r="D1325" t="s">
        <v>277</v>
      </c>
      <c r="E1325" t="s">
        <v>261</v>
      </c>
      <c r="F1325" t="s">
        <v>270</v>
      </c>
      <c r="G1325" t="s">
        <v>267</v>
      </c>
      <c r="H1325">
        <v>85295.739315596904</v>
      </c>
      <c r="I1325" t="s">
        <v>264</v>
      </c>
      <c r="J1325" t="s">
        <v>265</v>
      </c>
      <c r="K1325">
        <v>91441</v>
      </c>
      <c r="L1325" t="s">
        <v>282</v>
      </c>
      <c r="M1325">
        <v>0.93</v>
      </c>
    </row>
    <row r="1326" spans="1:13" x14ac:dyDescent="0.25">
      <c r="A1326">
        <v>2015</v>
      </c>
      <c r="B1326" t="s">
        <v>259</v>
      </c>
      <c r="C1326">
        <v>27141</v>
      </c>
      <c r="D1326" t="s">
        <v>277</v>
      </c>
      <c r="E1326" t="s">
        <v>261</v>
      </c>
      <c r="F1326" t="s">
        <v>270</v>
      </c>
      <c r="G1326" t="s">
        <v>269</v>
      </c>
      <c r="H1326">
        <v>63.169517448148902</v>
      </c>
      <c r="I1326" t="s">
        <v>264</v>
      </c>
      <c r="J1326" t="s">
        <v>265</v>
      </c>
      <c r="K1326">
        <v>91441</v>
      </c>
      <c r="L1326" t="s">
        <v>282</v>
      </c>
      <c r="M1326">
        <v>0</v>
      </c>
    </row>
    <row r="1327" spans="1:13" x14ac:dyDescent="0.25">
      <c r="A1327">
        <v>2015</v>
      </c>
      <c r="B1327" t="s">
        <v>259</v>
      </c>
      <c r="C1327">
        <v>27163</v>
      </c>
      <c r="D1327" t="s">
        <v>278</v>
      </c>
      <c r="E1327" t="s">
        <v>261</v>
      </c>
      <c r="F1327" t="s">
        <v>262</v>
      </c>
      <c r="G1327" t="s">
        <v>263</v>
      </c>
      <c r="H1327">
        <v>824265.02734839101</v>
      </c>
      <c r="I1327" t="s">
        <v>264</v>
      </c>
      <c r="J1327" t="s">
        <v>265</v>
      </c>
      <c r="K1327">
        <v>250482</v>
      </c>
      <c r="L1327" t="s">
        <v>282</v>
      </c>
      <c r="M1327">
        <v>3.29</v>
      </c>
    </row>
    <row r="1328" spans="1:13" x14ac:dyDescent="0.25">
      <c r="A1328">
        <v>2015</v>
      </c>
      <c r="B1328" t="s">
        <v>259</v>
      </c>
      <c r="C1328">
        <v>27163</v>
      </c>
      <c r="D1328" t="s">
        <v>278</v>
      </c>
      <c r="E1328" t="s">
        <v>261</v>
      </c>
      <c r="F1328" t="s">
        <v>262</v>
      </c>
      <c r="G1328" t="s">
        <v>267</v>
      </c>
      <c r="H1328">
        <v>22204.521927923499</v>
      </c>
      <c r="I1328" t="s">
        <v>264</v>
      </c>
      <c r="J1328" t="s">
        <v>265</v>
      </c>
      <c r="K1328">
        <v>250482</v>
      </c>
      <c r="L1328" t="s">
        <v>282</v>
      </c>
      <c r="M1328">
        <v>0.09</v>
      </c>
    </row>
    <row r="1329" spans="1:13" x14ac:dyDescent="0.25">
      <c r="A1329">
        <v>2015</v>
      </c>
      <c r="B1329" t="s">
        <v>259</v>
      </c>
      <c r="C1329">
        <v>27163</v>
      </c>
      <c r="D1329" t="s">
        <v>278</v>
      </c>
      <c r="E1329" t="s">
        <v>261</v>
      </c>
      <c r="F1329" t="s">
        <v>262</v>
      </c>
      <c r="G1329" t="s">
        <v>269</v>
      </c>
      <c r="H1329">
        <v>1390.2195333053101</v>
      </c>
      <c r="I1329" t="s">
        <v>264</v>
      </c>
      <c r="J1329" t="s">
        <v>265</v>
      </c>
      <c r="K1329">
        <v>250482</v>
      </c>
      <c r="L1329" t="s">
        <v>282</v>
      </c>
      <c r="M1329">
        <v>0.01</v>
      </c>
    </row>
    <row r="1330" spans="1:13" x14ac:dyDescent="0.25">
      <c r="A1330">
        <v>2015</v>
      </c>
      <c r="B1330" t="s">
        <v>259</v>
      </c>
      <c r="C1330">
        <v>27163</v>
      </c>
      <c r="D1330" t="s">
        <v>278</v>
      </c>
      <c r="E1330" t="s">
        <v>261</v>
      </c>
      <c r="F1330" t="s">
        <v>268</v>
      </c>
      <c r="G1330" t="s">
        <v>263</v>
      </c>
      <c r="H1330">
        <v>689.70020398033398</v>
      </c>
      <c r="I1330" t="s">
        <v>264</v>
      </c>
      <c r="J1330" t="s">
        <v>265</v>
      </c>
      <c r="K1330">
        <v>250482</v>
      </c>
      <c r="L1330" t="s">
        <v>282</v>
      </c>
      <c r="M1330">
        <v>0</v>
      </c>
    </row>
    <row r="1331" spans="1:13" x14ac:dyDescent="0.25">
      <c r="A1331">
        <v>2015</v>
      </c>
      <c r="B1331" t="s">
        <v>259</v>
      </c>
      <c r="C1331">
        <v>27163</v>
      </c>
      <c r="D1331" t="s">
        <v>278</v>
      </c>
      <c r="E1331" t="s">
        <v>261</v>
      </c>
      <c r="F1331" t="s">
        <v>268</v>
      </c>
      <c r="G1331" t="s">
        <v>267</v>
      </c>
      <c r="H1331">
        <v>11172.9924866319</v>
      </c>
      <c r="I1331" t="s">
        <v>264</v>
      </c>
      <c r="J1331" t="s">
        <v>265</v>
      </c>
      <c r="K1331">
        <v>250482</v>
      </c>
      <c r="L1331" t="s">
        <v>282</v>
      </c>
      <c r="M1331">
        <v>0.04</v>
      </c>
    </row>
    <row r="1332" spans="1:13" x14ac:dyDescent="0.25">
      <c r="A1332">
        <v>2015</v>
      </c>
      <c r="B1332" t="s">
        <v>259</v>
      </c>
      <c r="C1332">
        <v>27163</v>
      </c>
      <c r="D1332" t="s">
        <v>278</v>
      </c>
      <c r="E1332" t="s">
        <v>261</v>
      </c>
      <c r="F1332" t="s">
        <v>268</v>
      </c>
      <c r="G1332" t="s">
        <v>269</v>
      </c>
      <c r="H1332">
        <v>209.20407844745301</v>
      </c>
      <c r="I1332" t="s">
        <v>264</v>
      </c>
      <c r="J1332" t="s">
        <v>265</v>
      </c>
      <c r="K1332">
        <v>250482</v>
      </c>
      <c r="L1332" t="s">
        <v>282</v>
      </c>
      <c r="M1332">
        <v>0</v>
      </c>
    </row>
    <row r="1333" spans="1:13" x14ac:dyDescent="0.25">
      <c r="A1333">
        <v>2015</v>
      </c>
      <c r="B1333" t="s">
        <v>259</v>
      </c>
      <c r="C1333">
        <v>27163</v>
      </c>
      <c r="D1333" t="s">
        <v>278</v>
      </c>
      <c r="E1333" t="s">
        <v>261</v>
      </c>
      <c r="F1333" t="s">
        <v>270</v>
      </c>
      <c r="G1333" t="s">
        <v>263</v>
      </c>
      <c r="H1333">
        <v>40245.105094829101</v>
      </c>
      <c r="I1333" t="s">
        <v>264</v>
      </c>
      <c r="J1333" t="s">
        <v>265</v>
      </c>
      <c r="K1333">
        <v>250482</v>
      </c>
      <c r="L1333" t="s">
        <v>282</v>
      </c>
      <c r="M1333">
        <v>0.16</v>
      </c>
    </row>
    <row r="1334" spans="1:13" x14ac:dyDescent="0.25">
      <c r="A1334">
        <v>2015</v>
      </c>
      <c r="B1334" t="s">
        <v>259</v>
      </c>
      <c r="C1334">
        <v>27163</v>
      </c>
      <c r="D1334" t="s">
        <v>278</v>
      </c>
      <c r="E1334" t="s">
        <v>261</v>
      </c>
      <c r="F1334" t="s">
        <v>270</v>
      </c>
      <c r="G1334" t="s">
        <v>267</v>
      </c>
      <c r="H1334">
        <v>235802.671879072</v>
      </c>
      <c r="I1334" t="s">
        <v>264</v>
      </c>
      <c r="J1334" t="s">
        <v>265</v>
      </c>
      <c r="K1334">
        <v>250482</v>
      </c>
      <c r="L1334" t="s">
        <v>282</v>
      </c>
      <c r="M1334">
        <v>0.94</v>
      </c>
    </row>
    <row r="1335" spans="1:13" x14ac:dyDescent="0.25">
      <c r="A1335">
        <v>2015</v>
      </c>
      <c r="B1335" t="s">
        <v>259</v>
      </c>
      <c r="C1335">
        <v>27163</v>
      </c>
      <c r="D1335" t="s">
        <v>278</v>
      </c>
      <c r="E1335" t="s">
        <v>261</v>
      </c>
      <c r="F1335" t="s">
        <v>270</v>
      </c>
      <c r="G1335" t="s">
        <v>269</v>
      </c>
      <c r="H1335">
        <v>193.82833671788899</v>
      </c>
      <c r="I1335" t="s">
        <v>264</v>
      </c>
      <c r="J1335" t="s">
        <v>265</v>
      </c>
      <c r="K1335">
        <v>250482</v>
      </c>
      <c r="L1335" t="s">
        <v>282</v>
      </c>
      <c r="M1335">
        <v>0</v>
      </c>
    </row>
    <row r="1336" spans="1:13" x14ac:dyDescent="0.25">
      <c r="A1336">
        <v>2015</v>
      </c>
      <c r="B1336" t="s">
        <v>259</v>
      </c>
      <c r="C1336">
        <v>55093</v>
      </c>
      <c r="D1336" t="s">
        <v>279</v>
      </c>
      <c r="E1336" t="s">
        <v>261</v>
      </c>
      <c r="F1336" t="s">
        <v>262</v>
      </c>
      <c r="G1336" t="s">
        <v>263</v>
      </c>
      <c r="H1336">
        <v>126920.250013793</v>
      </c>
      <c r="I1336" t="s">
        <v>264</v>
      </c>
      <c r="J1336" t="s">
        <v>265</v>
      </c>
      <c r="K1336">
        <v>41117</v>
      </c>
      <c r="L1336" t="s">
        <v>282</v>
      </c>
      <c r="M1336">
        <v>3.09</v>
      </c>
    </row>
    <row r="1337" spans="1:13" x14ac:dyDescent="0.25">
      <c r="A1337">
        <v>2015</v>
      </c>
      <c r="B1337" t="s">
        <v>259</v>
      </c>
      <c r="C1337">
        <v>55093</v>
      </c>
      <c r="D1337" t="s">
        <v>279</v>
      </c>
      <c r="E1337" t="s">
        <v>261</v>
      </c>
      <c r="F1337" t="s">
        <v>262</v>
      </c>
      <c r="G1337" t="s">
        <v>267</v>
      </c>
      <c r="H1337">
        <v>7368.6987708141896</v>
      </c>
      <c r="I1337" t="s">
        <v>264</v>
      </c>
      <c r="J1337" t="s">
        <v>265</v>
      </c>
      <c r="K1337">
        <v>41117</v>
      </c>
      <c r="L1337" t="s">
        <v>282</v>
      </c>
      <c r="M1337">
        <v>0.18</v>
      </c>
    </row>
    <row r="1338" spans="1:13" x14ac:dyDescent="0.25">
      <c r="A1338">
        <v>2015</v>
      </c>
      <c r="B1338" t="s">
        <v>259</v>
      </c>
      <c r="C1338">
        <v>55093</v>
      </c>
      <c r="D1338" t="s">
        <v>279</v>
      </c>
      <c r="E1338" t="s">
        <v>261</v>
      </c>
      <c r="F1338" t="s">
        <v>262</v>
      </c>
      <c r="G1338" t="s">
        <v>269</v>
      </c>
      <c r="H1338">
        <v>249.95503828598501</v>
      </c>
      <c r="I1338" t="s">
        <v>264</v>
      </c>
      <c r="J1338" t="s">
        <v>265</v>
      </c>
      <c r="K1338">
        <v>41117</v>
      </c>
      <c r="L1338" t="s">
        <v>282</v>
      </c>
      <c r="M1338">
        <v>0.01</v>
      </c>
    </row>
    <row r="1339" spans="1:13" x14ac:dyDescent="0.25">
      <c r="A1339">
        <v>2015</v>
      </c>
      <c r="B1339" t="s">
        <v>259</v>
      </c>
      <c r="C1339">
        <v>55093</v>
      </c>
      <c r="D1339" t="s">
        <v>279</v>
      </c>
      <c r="E1339" t="s">
        <v>261</v>
      </c>
      <c r="F1339" t="s">
        <v>268</v>
      </c>
      <c r="G1339" t="s">
        <v>263</v>
      </c>
      <c r="H1339">
        <v>158.820155661896</v>
      </c>
      <c r="I1339" t="s">
        <v>264</v>
      </c>
      <c r="J1339" t="s">
        <v>265</v>
      </c>
      <c r="K1339">
        <v>41117</v>
      </c>
      <c r="L1339" t="s">
        <v>282</v>
      </c>
      <c r="M1339">
        <v>0</v>
      </c>
    </row>
    <row r="1340" spans="1:13" x14ac:dyDescent="0.25">
      <c r="A1340">
        <v>2015</v>
      </c>
      <c r="B1340" t="s">
        <v>259</v>
      </c>
      <c r="C1340">
        <v>55093</v>
      </c>
      <c r="D1340" t="s">
        <v>279</v>
      </c>
      <c r="E1340" t="s">
        <v>261</v>
      </c>
      <c r="F1340" t="s">
        <v>268</v>
      </c>
      <c r="G1340" t="s">
        <v>267</v>
      </c>
      <c r="H1340">
        <v>2221.5310026744301</v>
      </c>
      <c r="I1340" t="s">
        <v>264</v>
      </c>
      <c r="J1340" t="s">
        <v>265</v>
      </c>
      <c r="K1340">
        <v>41117</v>
      </c>
      <c r="L1340" t="s">
        <v>282</v>
      </c>
      <c r="M1340">
        <v>0.05</v>
      </c>
    </row>
    <row r="1341" spans="1:13" x14ac:dyDescent="0.25">
      <c r="A1341">
        <v>2015</v>
      </c>
      <c r="B1341" t="s">
        <v>259</v>
      </c>
      <c r="C1341">
        <v>55093</v>
      </c>
      <c r="D1341" t="s">
        <v>279</v>
      </c>
      <c r="E1341" t="s">
        <v>261</v>
      </c>
      <c r="F1341" t="s">
        <v>268</v>
      </c>
      <c r="G1341" t="s">
        <v>269</v>
      </c>
      <c r="H1341">
        <v>60.3508974755891</v>
      </c>
      <c r="I1341" t="s">
        <v>264</v>
      </c>
      <c r="J1341" t="s">
        <v>265</v>
      </c>
      <c r="K1341">
        <v>41117</v>
      </c>
      <c r="L1341" t="s">
        <v>282</v>
      </c>
      <c r="M1341">
        <v>0</v>
      </c>
    </row>
    <row r="1342" spans="1:13" x14ac:dyDescent="0.25">
      <c r="A1342">
        <v>2015</v>
      </c>
      <c r="B1342" t="s">
        <v>259</v>
      </c>
      <c r="C1342">
        <v>55093</v>
      </c>
      <c r="D1342" t="s">
        <v>279</v>
      </c>
      <c r="E1342" t="s">
        <v>261</v>
      </c>
      <c r="F1342" t="s">
        <v>270</v>
      </c>
      <c r="G1342" t="s">
        <v>263</v>
      </c>
      <c r="H1342">
        <v>6977.1933930475398</v>
      </c>
      <c r="I1342" t="s">
        <v>264</v>
      </c>
      <c r="J1342" t="s">
        <v>265</v>
      </c>
      <c r="K1342">
        <v>41117</v>
      </c>
      <c r="L1342" t="s">
        <v>282</v>
      </c>
      <c r="M1342">
        <v>0.17</v>
      </c>
    </row>
    <row r="1343" spans="1:13" x14ac:dyDescent="0.25">
      <c r="A1343">
        <v>2015</v>
      </c>
      <c r="B1343" t="s">
        <v>259</v>
      </c>
      <c r="C1343">
        <v>55093</v>
      </c>
      <c r="D1343" t="s">
        <v>279</v>
      </c>
      <c r="E1343" t="s">
        <v>261</v>
      </c>
      <c r="F1343" t="s">
        <v>270</v>
      </c>
      <c r="G1343" t="s">
        <v>267</v>
      </c>
      <c r="H1343">
        <v>21294.947801603601</v>
      </c>
      <c r="I1343" t="s">
        <v>264</v>
      </c>
      <c r="J1343" t="s">
        <v>265</v>
      </c>
      <c r="K1343">
        <v>41117</v>
      </c>
      <c r="L1343" t="s">
        <v>282</v>
      </c>
      <c r="M1343">
        <v>0.52</v>
      </c>
    </row>
    <row r="1344" spans="1:13" x14ac:dyDescent="0.25">
      <c r="A1344">
        <v>2015</v>
      </c>
      <c r="B1344" t="s">
        <v>259</v>
      </c>
      <c r="C1344">
        <v>55093</v>
      </c>
      <c r="D1344" t="s">
        <v>279</v>
      </c>
      <c r="E1344" t="s">
        <v>261</v>
      </c>
      <c r="F1344" t="s">
        <v>270</v>
      </c>
      <c r="G1344" t="s">
        <v>269</v>
      </c>
      <c r="H1344">
        <v>33.086996074207697</v>
      </c>
      <c r="I1344" t="s">
        <v>264</v>
      </c>
      <c r="J1344" t="s">
        <v>265</v>
      </c>
      <c r="K1344">
        <v>41117</v>
      </c>
      <c r="L1344" t="s">
        <v>282</v>
      </c>
      <c r="M1344">
        <v>0</v>
      </c>
    </row>
    <row r="1345" spans="1:13" x14ac:dyDescent="0.25">
      <c r="A1345">
        <v>2015</v>
      </c>
      <c r="B1345" t="s">
        <v>259</v>
      </c>
      <c r="C1345">
        <v>55109</v>
      </c>
      <c r="D1345" t="s">
        <v>280</v>
      </c>
      <c r="E1345" t="s">
        <v>261</v>
      </c>
      <c r="F1345" t="s">
        <v>262</v>
      </c>
      <c r="G1345" t="s">
        <v>263</v>
      </c>
      <c r="H1345">
        <v>401960.89639597002</v>
      </c>
      <c r="I1345" t="s">
        <v>264</v>
      </c>
      <c r="J1345" t="s">
        <v>265</v>
      </c>
      <c r="K1345">
        <v>87207</v>
      </c>
      <c r="L1345" t="s">
        <v>282</v>
      </c>
      <c r="M1345">
        <v>4.6100000000000003</v>
      </c>
    </row>
    <row r="1346" spans="1:13" x14ac:dyDescent="0.25">
      <c r="A1346">
        <v>2015</v>
      </c>
      <c r="B1346" t="s">
        <v>259</v>
      </c>
      <c r="C1346">
        <v>55109</v>
      </c>
      <c r="D1346" t="s">
        <v>280</v>
      </c>
      <c r="E1346" t="s">
        <v>261</v>
      </c>
      <c r="F1346" t="s">
        <v>262</v>
      </c>
      <c r="G1346" t="s">
        <v>267</v>
      </c>
      <c r="H1346">
        <v>22799.374408715601</v>
      </c>
      <c r="I1346" t="s">
        <v>264</v>
      </c>
      <c r="J1346" t="s">
        <v>265</v>
      </c>
      <c r="K1346">
        <v>87207</v>
      </c>
      <c r="L1346" t="s">
        <v>282</v>
      </c>
      <c r="M1346">
        <v>0.26</v>
      </c>
    </row>
    <row r="1347" spans="1:13" x14ac:dyDescent="0.25">
      <c r="A1347">
        <v>2015</v>
      </c>
      <c r="B1347" t="s">
        <v>259</v>
      </c>
      <c r="C1347">
        <v>55109</v>
      </c>
      <c r="D1347" t="s">
        <v>280</v>
      </c>
      <c r="E1347" t="s">
        <v>261</v>
      </c>
      <c r="F1347" t="s">
        <v>262</v>
      </c>
      <c r="G1347" t="s">
        <v>269</v>
      </c>
      <c r="H1347">
        <v>727.49598194636303</v>
      </c>
      <c r="I1347" t="s">
        <v>264</v>
      </c>
      <c r="J1347" t="s">
        <v>265</v>
      </c>
      <c r="K1347">
        <v>87207</v>
      </c>
      <c r="L1347" t="s">
        <v>282</v>
      </c>
      <c r="M1347">
        <v>0.01</v>
      </c>
    </row>
    <row r="1348" spans="1:13" x14ac:dyDescent="0.25">
      <c r="A1348">
        <v>2015</v>
      </c>
      <c r="B1348" t="s">
        <v>259</v>
      </c>
      <c r="C1348">
        <v>55109</v>
      </c>
      <c r="D1348" t="s">
        <v>280</v>
      </c>
      <c r="E1348" t="s">
        <v>261</v>
      </c>
      <c r="F1348" t="s">
        <v>268</v>
      </c>
      <c r="G1348" t="s">
        <v>263</v>
      </c>
      <c r="H1348">
        <v>355.056750249174</v>
      </c>
      <c r="I1348" t="s">
        <v>264</v>
      </c>
      <c r="J1348" t="s">
        <v>265</v>
      </c>
      <c r="K1348">
        <v>87207</v>
      </c>
      <c r="L1348" t="s">
        <v>282</v>
      </c>
      <c r="M1348">
        <v>0</v>
      </c>
    </row>
    <row r="1349" spans="1:13" x14ac:dyDescent="0.25">
      <c r="A1349">
        <v>2015</v>
      </c>
      <c r="B1349" t="s">
        <v>259</v>
      </c>
      <c r="C1349">
        <v>55109</v>
      </c>
      <c r="D1349" t="s">
        <v>280</v>
      </c>
      <c r="E1349" t="s">
        <v>261</v>
      </c>
      <c r="F1349" t="s">
        <v>268</v>
      </c>
      <c r="G1349" t="s">
        <v>267</v>
      </c>
      <c r="H1349">
        <v>6855.7992242462096</v>
      </c>
      <c r="I1349" t="s">
        <v>264</v>
      </c>
      <c r="J1349" t="s">
        <v>265</v>
      </c>
      <c r="K1349">
        <v>87207</v>
      </c>
      <c r="L1349" t="s">
        <v>282</v>
      </c>
      <c r="M1349">
        <v>0.08</v>
      </c>
    </row>
    <row r="1350" spans="1:13" x14ac:dyDescent="0.25">
      <c r="A1350">
        <v>2015</v>
      </c>
      <c r="B1350" t="s">
        <v>259</v>
      </c>
      <c r="C1350">
        <v>55109</v>
      </c>
      <c r="D1350" t="s">
        <v>280</v>
      </c>
      <c r="E1350" t="s">
        <v>261</v>
      </c>
      <c r="F1350" t="s">
        <v>268</v>
      </c>
      <c r="G1350" t="s">
        <v>269</v>
      </c>
      <c r="H1350">
        <v>124.307676029153</v>
      </c>
      <c r="I1350" t="s">
        <v>264</v>
      </c>
      <c r="J1350" t="s">
        <v>265</v>
      </c>
      <c r="K1350">
        <v>87207</v>
      </c>
      <c r="L1350" t="s">
        <v>282</v>
      </c>
      <c r="M1350">
        <v>0</v>
      </c>
    </row>
    <row r="1351" spans="1:13" x14ac:dyDescent="0.25">
      <c r="A1351">
        <v>2015</v>
      </c>
      <c r="B1351" t="s">
        <v>259</v>
      </c>
      <c r="C1351">
        <v>55109</v>
      </c>
      <c r="D1351" t="s">
        <v>280</v>
      </c>
      <c r="E1351" t="s">
        <v>261</v>
      </c>
      <c r="F1351" t="s">
        <v>270</v>
      </c>
      <c r="G1351" t="s">
        <v>263</v>
      </c>
      <c r="H1351">
        <v>23830.4414365386</v>
      </c>
      <c r="I1351" t="s">
        <v>264</v>
      </c>
      <c r="J1351" t="s">
        <v>265</v>
      </c>
      <c r="K1351">
        <v>87207</v>
      </c>
      <c r="L1351" t="s">
        <v>282</v>
      </c>
      <c r="M1351">
        <v>0.27</v>
      </c>
    </row>
    <row r="1352" spans="1:13" x14ac:dyDescent="0.25">
      <c r="A1352">
        <v>2015</v>
      </c>
      <c r="B1352" t="s">
        <v>259</v>
      </c>
      <c r="C1352">
        <v>55109</v>
      </c>
      <c r="D1352" t="s">
        <v>280</v>
      </c>
      <c r="E1352" t="s">
        <v>261</v>
      </c>
      <c r="F1352" t="s">
        <v>270</v>
      </c>
      <c r="G1352" t="s">
        <v>267</v>
      </c>
      <c r="H1352">
        <v>138125.965079791</v>
      </c>
      <c r="I1352" t="s">
        <v>264</v>
      </c>
      <c r="J1352" t="s">
        <v>265</v>
      </c>
      <c r="K1352">
        <v>87207</v>
      </c>
      <c r="L1352" t="s">
        <v>282</v>
      </c>
      <c r="M1352">
        <v>1.58</v>
      </c>
    </row>
    <row r="1353" spans="1:13" x14ac:dyDescent="0.25">
      <c r="A1353">
        <v>2015</v>
      </c>
      <c r="B1353" t="s">
        <v>259</v>
      </c>
      <c r="C1353">
        <v>55109</v>
      </c>
      <c r="D1353" t="s">
        <v>280</v>
      </c>
      <c r="E1353" t="s">
        <v>261</v>
      </c>
      <c r="F1353" t="s">
        <v>270</v>
      </c>
      <c r="G1353" t="s">
        <v>269</v>
      </c>
      <c r="H1353">
        <v>107.130298412315</v>
      </c>
      <c r="I1353" t="s">
        <v>264</v>
      </c>
      <c r="J1353" t="s">
        <v>265</v>
      </c>
      <c r="K1353">
        <v>87207</v>
      </c>
      <c r="L1353" t="s">
        <v>282</v>
      </c>
      <c r="M1353">
        <v>0</v>
      </c>
    </row>
    <row r="1354" spans="1:13" x14ac:dyDescent="0.25">
      <c r="A1354">
        <v>2016</v>
      </c>
      <c r="B1354" t="s">
        <v>259</v>
      </c>
      <c r="C1354">
        <v>27003</v>
      </c>
      <c r="D1354" t="s">
        <v>260</v>
      </c>
      <c r="E1354" t="s">
        <v>261</v>
      </c>
      <c r="F1354" t="s">
        <v>262</v>
      </c>
      <c r="G1354" t="s">
        <v>263</v>
      </c>
      <c r="H1354">
        <v>1091000.2482489401</v>
      </c>
      <c r="I1354" t="s">
        <v>264</v>
      </c>
      <c r="J1354" t="s">
        <v>265</v>
      </c>
      <c r="K1354">
        <v>346813</v>
      </c>
      <c r="L1354" t="s">
        <v>282</v>
      </c>
      <c r="M1354">
        <v>3.15</v>
      </c>
    </row>
    <row r="1355" spans="1:13" x14ac:dyDescent="0.25">
      <c r="A1355">
        <v>2016</v>
      </c>
      <c r="B1355" t="s">
        <v>259</v>
      </c>
      <c r="C1355">
        <v>27003</v>
      </c>
      <c r="D1355" t="s">
        <v>260</v>
      </c>
      <c r="E1355" t="s">
        <v>261</v>
      </c>
      <c r="F1355" t="s">
        <v>262</v>
      </c>
      <c r="G1355" t="s">
        <v>267</v>
      </c>
      <c r="H1355">
        <v>25092.0363158328</v>
      </c>
      <c r="I1355" t="s">
        <v>264</v>
      </c>
      <c r="J1355" t="s">
        <v>265</v>
      </c>
      <c r="K1355">
        <v>346813</v>
      </c>
      <c r="L1355" t="s">
        <v>282</v>
      </c>
      <c r="M1355">
        <v>7.0000000000000007E-2</v>
      </c>
    </row>
    <row r="1356" spans="1:13" x14ac:dyDescent="0.25">
      <c r="A1356">
        <v>2016</v>
      </c>
      <c r="B1356" t="s">
        <v>259</v>
      </c>
      <c r="C1356">
        <v>27003</v>
      </c>
      <c r="D1356" t="s">
        <v>260</v>
      </c>
      <c r="E1356" t="s">
        <v>261</v>
      </c>
      <c r="F1356" t="s">
        <v>262</v>
      </c>
      <c r="G1356" t="s">
        <v>269</v>
      </c>
      <c r="H1356">
        <v>1953.68833224184</v>
      </c>
      <c r="I1356" t="s">
        <v>264</v>
      </c>
      <c r="J1356" t="s">
        <v>265</v>
      </c>
      <c r="K1356">
        <v>346813</v>
      </c>
      <c r="L1356" t="s">
        <v>282</v>
      </c>
      <c r="M1356">
        <v>0.01</v>
      </c>
    </row>
    <row r="1357" spans="1:13" x14ac:dyDescent="0.25">
      <c r="A1357">
        <v>2016</v>
      </c>
      <c r="B1357" t="s">
        <v>259</v>
      </c>
      <c r="C1357">
        <v>27003</v>
      </c>
      <c r="D1357" t="s">
        <v>260</v>
      </c>
      <c r="E1357" t="s">
        <v>261</v>
      </c>
      <c r="F1357" t="s">
        <v>268</v>
      </c>
      <c r="G1357" t="s">
        <v>263</v>
      </c>
      <c r="H1357">
        <v>2274.48136222633</v>
      </c>
      <c r="I1357" t="s">
        <v>264</v>
      </c>
      <c r="J1357" t="s">
        <v>265</v>
      </c>
      <c r="K1357">
        <v>346813</v>
      </c>
      <c r="L1357" t="s">
        <v>282</v>
      </c>
      <c r="M1357">
        <v>0.01</v>
      </c>
    </row>
    <row r="1358" spans="1:13" x14ac:dyDescent="0.25">
      <c r="A1358">
        <v>2016</v>
      </c>
      <c r="B1358" t="s">
        <v>259</v>
      </c>
      <c r="C1358">
        <v>27003</v>
      </c>
      <c r="D1358" t="s">
        <v>260</v>
      </c>
      <c r="E1358" t="s">
        <v>261</v>
      </c>
      <c r="F1358" t="s">
        <v>268</v>
      </c>
      <c r="G1358" t="s">
        <v>267</v>
      </c>
      <c r="H1358">
        <v>13573.4914659468</v>
      </c>
      <c r="I1358" t="s">
        <v>264</v>
      </c>
      <c r="J1358" t="s">
        <v>265</v>
      </c>
      <c r="K1358">
        <v>346813</v>
      </c>
      <c r="L1358" t="s">
        <v>282</v>
      </c>
      <c r="M1358">
        <v>0.04</v>
      </c>
    </row>
    <row r="1359" spans="1:13" x14ac:dyDescent="0.25">
      <c r="A1359">
        <v>2016</v>
      </c>
      <c r="B1359" t="s">
        <v>259</v>
      </c>
      <c r="C1359">
        <v>27003</v>
      </c>
      <c r="D1359" t="s">
        <v>260</v>
      </c>
      <c r="E1359" t="s">
        <v>261</v>
      </c>
      <c r="F1359" t="s">
        <v>268</v>
      </c>
      <c r="G1359" t="s">
        <v>269</v>
      </c>
      <c r="H1359">
        <v>4.6000976637967401</v>
      </c>
      <c r="I1359" t="s">
        <v>264</v>
      </c>
      <c r="J1359" t="s">
        <v>265</v>
      </c>
      <c r="K1359">
        <v>346813</v>
      </c>
      <c r="L1359" t="s">
        <v>282</v>
      </c>
      <c r="M1359">
        <v>0</v>
      </c>
    </row>
    <row r="1360" spans="1:13" x14ac:dyDescent="0.25">
      <c r="A1360">
        <v>2016</v>
      </c>
      <c r="B1360" t="s">
        <v>259</v>
      </c>
      <c r="C1360">
        <v>27003</v>
      </c>
      <c r="D1360" t="s">
        <v>260</v>
      </c>
      <c r="E1360" t="s">
        <v>261</v>
      </c>
      <c r="F1360" t="s">
        <v>270</v>
      </c>
      <c r="G1360" t="s">
        <v>263</v>
      </c>
      <c r="H1360">
        <v>78962.761904496598</v>
      </c>
      <c r="I1360" t="s">
        <v>264</v>
      </c>
      <c r="J1360" t="s">
        <v>265</v>
      </c>
      <c r="K1360">
        <v>346813</v>
      </c>
      <c r="L1360" t="s">
        <v>282</v>
      </c>
      <c r="M1360">
        <v>0.23</v>
      </c>
    </row>
    <row r="1361" spans="1:13" x14ac:dyDescent="0.25">
      <c r="A1361">
        <v>2016</v>
      </c>
      <c r="B1361" t="s">
        <v>259</v>
      </c>
      <c r="C1361">
        <v>27003</v>
      </c>
      <c r="D1361" t="s">
        <v>260</v>
      </c>
      <c r="E1361" t="s">
        <v>261</v>
      </c>
      <c r="F1361" t="s">
        <v>270</v>
      </c>
      <c r="G1361" t="s">
        <v>267</v>
      </c>
      <c r="H1361">
        <v>311462.52145089302</v>
      </c>
      <c r="I1361" t="s">
        <v>264</v>
      </c>
      <c r="J1361" t="s">
        <v>265</v>
      </c>
      <c r="K1361">
        <v>346813</v>
      </c>
      <c r="L1361" t="s">
        <v>282</v>
      </c>
      <c r="M1361">
        <v>0.9</v>
      </c>
    </row>
    <row r="1362" spans="1:13" x14ac:dyDescent="0.25">
      <c r="A1362">
        <v>2016</v>
      </c>
      <c r="B1362" t="s">
        <v>259</v>
      </c>
      <c r="C1362">
        <v>27003</v>
      </c>
      <c r="D1362" t="s">
        <v>260</v>
      </c>
      <c r="E1362" t="s">
        <v>261</v>
      </c>
      <c r="F1362" t="s">
        <v>270</v>
      </c>
      <c r="G1362" t="s">
        <v>269</v>
      </c>
      <c r="H1362">
        <v>145.85241561243299</v>
      </c>
      <c r="I1362" t="s">
        <v>264</v>
      </c>
      <c r="J1362" t="s">
        <v>265</v>
      </c>
      <c r="K1362">
        <v>346813</v>
      </c>
      <c r="L1362" t="s">
        <v>282</v>
      </c>
      <c r="M1362">
        <v>0</v>
      </c>
    </row>
    <row r="1363" spans="1:13" x14ac:dyDescent="0.25">
      <c r="A1363">
        <v>2016</v>
      </c>
      <c r="B1363" t="s">
        <v>259</v>
      </c>
      <c r="C1363">
        <v>27019</v>
      </c>
      <c r="D1363" t="s">
        <v>271</v>
      </c>
      <c r="E1363" t="s">
        <v>261</v>
      </c>
      <c r="F1363" t="s">
        <v>262</v>
      </c>
      <c r="G1363" t="s">
        <v>263</v>
      </c>
      <c r="H1363">
        <v>306743.760965469</v>
      </c>
      <c r="I1363" t="s">
        <v>264</v>
      </c>
      <c r="J1363" t="s">
        <v>265</v>
      </c>
      <c r="K1363">
        <v>100389</v>
      </c>
      <c r="L1363" t="s">
        <v>282</v>
      </c>
      <c r="M1363">
        <v>3.06</v>
      </c>
    </row>
    <row r="1364" spans="1:13" x14ac:dyDescent="0.25">
      <c r="A1364">
        <v>2016</v>
      </c>
      <c r="B1364" t="s">
        <v>259</v>
      </c>
      <c r="C1364">
        <v>27019</v>
      </c>
      <c r="D1364" t="s">
        <v>271</v>
      </c>
      <c r="E1364" t="s">
        <v>261</v>
      </c>
      <c r="F1364" t="s">
        <v>262</v>
      </c>
      <c r="G1364" t="s">
        <v>267</v>
      </c>
      <c r="H1364">
        <v>8196.86839157129</v>
      </c>
      <c r="I1364" t="s">
        <v>264</v>
      </c>
      <c r="J1364" t="s">
        <v>265</v>
      </c>
      <c r="K1364">
        <v>100389</v>
      </c>
      <c r="L1364" t="s">
        <v>282</v>
      </c>
      <c r="M1364">
        <v>0.08</v>
      </c>
    </row>
    <row r="1365" spans="1:13" x14ac:dyDescent="0.25">
      <c r="A1365">
        <v>2016</v>
      </c>
      <c r="B1365" t="s">
        <v>259</v>
      </c>
      <c r="C1365">
        <v>27019</v>
      </c>
      <c r="D1365" t="s">
        <v>271</v>
      </c>
      <c r="E1365" t="s">
        <v>261</v>
      </c>
      <c r="F1365" t="s">
        <v>262</v>
      </c>
      <c r="G1365" t="s">
        <v>269</v>
      </c>
      <c r="H1365">
        <v>582.64081271558803</v>
      </c>
      <c r="I1365" t="s">
        <v>264</v>
      </c>
      <c r="J1365" t="s">
        <v>265</v>
      </c>
      <c r="K1365">
        <v>100389</v>
      </c>
      <c r="L1365" t="s">
        <v>282</v>
      </c>
      <c r="M1365">
        <v>0.01</v>
      </c>
    </row>
    <row r="1366" spans="1:13" x14ac:dyDescent="0.25">
      <c r="A1366">
        <v>2016</v>
      </c>
      <c r="B1366" t="s">
        <v>259</v>
      </c>
      <c r="C1366">
        <v>27019</v>
      </c>
      <c r="D1366" t="s">
        <v>271</v>
      </c>
      <c r="E1366" t="s">
        <v>261</v>
      </c>
      <c r="F1366" t="s">
        <v>268</v>
      </c>
      <c r="G1366" t="s">
        <v>263</v>
      </c>
      <c r="H1366">
        <v>721.37529694400905</v>
      </c>
      <c r="I1366" t="s">
        <v>264</v>
      </c>
      <c r="J1366" t="s">
        <v>265</v>
      </c>
      <c r="K1366">
        <v>100389</v>
      </c>
      <c r="L1366" t="s">
        <v>282</v>
      </c>
      <c r="M1366">
        <v>0.01</v>
      </c>
    </row>
    <row r="1367" spans="1:13" x14ac:dyDescent="0.25">
      <c r="A1367">
        <v>2016</v>
      </c>
      <c r="B1367" t="s">
        <v>259</v>
      </c>
      <c r="C1367">
        <v>27019</v>
      </c>
      <c r="D1367" t="s">
        <v>271</v>
      </c>
      <c r="E1367" t="s">
        <v>261</v>
      </c>
      <c r="F1367" t="s">
        <v>268</v>
      </c>
      <c r="G1367" t="s">
        <v>267</v>
      </c>
      <c r="H1367">
        <v>3726.5199623334202</v>
      </c>
      <c r="I1367" t="s">
        <v>264</v>
      </c>
      <c r="J1367" t="s">
        <v>265</v>
      </c>
      <c r="K1367">
        <v>100389</v>
      </c>
      <c r="L1367" t="s">
        <v>282</v>
      </c>
      <c r="M1367">
        <v>0.04</v>
      </c>
    </row>
    <row r="1368" spans="1:13" x14ac:dyDescent="0.25">
      <c r="A1368">
        <v>2016</v>
      </c>
      <c r="B1368" t="s">
        <v>259</v>
      </c>
      <c r="C1368">
        <v>27019</v>
      </c>
      <c r="D1368" t="s">
        <v>271</v>
      </c>
      <c r="E1368" t="s">
        <v>261</v>
      </c>
      <c r="F1368" t="s">
        <v>268</v>
      </c>
      <c r="G1368" t="s">
        <v>269</v>
      </c>
      <c r="H1368">
        <v>122.573089333797</v>
      </c>
      <c r="I1368" t="s">
        <v>264</v>
      </c>
      <c r="J1368" t="s">
        <v>265</v>
      </c>
      <c r="K1368">
        <v>100389</v>
      </c>
      <c r="L1368" t="s">
        <v>282</v>
      </c>
      <c r="M1368">
        <v>0</v>
      </c>
    </row>
    <row r="1369" spans="1:13" x14ac:dyDescent="0.25">
      <c r="A1369">
        <v>2016</v>
      </c>
      <c r="B1369" t="s">
        <v>259</v>
      </c>
      <c r="C1369">
        <v>27019</v>
      </c>
      <c r="D1369" t="s">
        <v>271</v>
      </c>
      <c r="E1369" t="s">
        <v>261</v>
      </c>
      <c r="F1369" t="s">
        <v>270</v>
      </c>
      <c r="G1369" t="s">
        <v>263</v>
      </c>
      <c r="H1369">
        <v>16790.621734096399</v>
      </c>
      <c r="I1369" t="s">
        <v>264</v>
      </c>
      <c r="J1369" t="s">
        <v>265</v>
      </c>
      <c r="K1369">
        <v>100389</v>
      </c>
      <c r="L1369" t="s">
        <v>282</v>
      </c>
      <c r="M1369">
        <v>0.17</v>
      </c>
    </row>
    <row r="1370" spans="1:13" x14ac:dyDescent="0.25">
      <c r="A1370">
        <v>2016</v>
      </c>
      <c r="B1370" t="s">
        <v>259</v>
      </c>
      <c r="C1370">
        <v>27019</v>
      </c>
      <c r="D1370" t="s">
        <v>271</v>
      </c>
      <c r="E1370" t="s">
        <v>261</v>
      </c>
      <c r="F1370" t="s">
        <v>270</v>
      </c>
      <c r="G1370" t="s">
        <v>267</v>
      </c>
      <c r="H1370">
        <v>87042.0831982706</v>
      </c>
      <c r="I1370" t="s">
        <v>264</v>
      </c>
      <c r="J1370" t="s">
        <v>265</v>
      </c>
      <c r="K1370">
        <v>100389</v>
      </c>
      <c r="L1370" t="s">
        <v>282</v>
      </c>
      <c r="M1370">
        <v>0.87</v>
      </c>
    </row>
    <row r="1371" spans="1:13" x14ac:dyDescent="0.25">
      <c r="A1371">
        <v>2016</v>
      </c>
      <c r="B1371" t="s">
        <v>259</v>
      </c>
      <c r="C1371">
        <v>27019</v>
      </c>
      <c r="D1371" t="s">
        <v>271</v>
      </c>
      <c r="E1371" t="s">
        <v>261</v>
      </c>
      <c r="F1371" t="s">
        <v>270</v>
      </c>
      <c r="G1371" t="s">
        <v>269</v>
      </c>
      <c r="H1371">
        <v>109.662729607065</v>
      </c>
      <c r="I1371" t="s">
        <v>264</v>
      </c>
      <c r="J1371" t="s">
        <v>265</v>
      </c>
      <c r="K1371">
        <v>100389</v>
      </c>
      <c r="L1371" t="s">
        <v>282</v>
      </c>
      <c r="M1371">
        <v>0</v>
      </c>
    </row>
    <row r="1372" spans="1:13" x14ac:dyDescent="0.25">
      <c r="A1372">
        <v>2016</v>
      </c>
      <c r="B1372" t="s">
        <v>259</v>
      </c>
      <c r="C1372">
        <v>27025</v>
      </c>
      <c r="D1372" t="s">
        <v>272</v>
      </c>
      <c r="E1372" t="s">
        <v>261</v>
      </c>
      <c r="F1372" t="s">
        <v>262</v>
      </c>
      <c r="G1372" t="s">
        <v>263</v>
      </c>
      <c r="H1372">
        <v>284330.77958523598</v>
      </c>
      <c r="I1372" t="s">
        <v>264</v>
      </c>
      <c r="J1372" t="s">
        <v>265</v>
      </c>
      <c r="K1372">
        <v>54640</v>
      </c>
      <c r="L1372" t="s">
        <v>282</v>
      </c>
      <c r="M1372">
        <v>5.2</v>
      </c>
    </row>
    <row r="1373" spans="1:13" x14ac:dyDescent="0.25">
      <c r="A1373">
        <v>2016</v>
      </c>
      <c r="B1373" t="s">
        <v>259</v>
      </c>
      <c r="C1373">
        <v>27025</v>
      </c>
      <c r="D1373" t="s">
        <v>272</v>
      </c>
      <c r="E1373" t="s">
        <v>261</v>
      </c>
      <c r="F1373" t="s">
        <v>262</v>
      </c>
      <c r="G1373" t="s">
        <v>267</v>
      </c>
      <c r="H1373">
        <v>13950.2894149859</v>
      </c>
      <c r="I1373" t="s">
        <v>264</v>
      </c>
      <c r="J1373" t="s">
        <v>265</v>
      </c>
      <c r="K1373">
        <v>54640</v>
      </c>
      <c r="L1373" t="s">
        <v>282</v>
      </c>
      <c r="M1373">
        <v>0.26</v>
      </c>
    </row>
    <row r="1374" spans="1:13" x14ac:dyDescent="0.25">
      <c r="A1374">
        <v>2016</v>
      </c>
      <c r="B1374" t="s">
        <v>259</v>
      </c>
      <c r="C1374">
        <v>27025</v>
      </c>
      <c r="D1374" t="s">
        <v>272</v>
      </c>
      <c r="E1374" t="s">
        <v>261</v>
      </c>
      <c r="F1374" t="s">
        <v>262</v>
      </c>
      <c r="G1374" t="s">
        <v>269</v>
      </c>
      <c r="H1374">
        <v>625.57967034715602</v>
      </c>
      <c r="I1374" t="s">
        <v>264</v>
      </c>
      <c r="J1374" t="s">
        <v>265</v>
      </c>
      <c r="K1374">
        <v>54640</v>
      </c>
      <c r="L1374" t="s">
        <v>282</v>
      </c>
      <c r="M1374">
        <v>0.01</v>
      </c>
    </row>
    <row r="1375" spans="1:13" x14ac:dyDescent="0.25">
      <c r="A1375">
        <v>2016</v>
      </c>
      <c r="B1375" t="s">
        <v>259</v>
      </c>
      <c r="C1375">
        <v>27025</v>
      </c>
      <c r="D1375" t="s">
        <v>272</v>
      </c>
      <c r="E1375" t="s">
        <v>261</v>
      </c>
      <c r="F1375" t="s">
        <v>268</v>
      </c>
      <c r="G1375" t="s">
        <v>263</v>
      </c>
      <c r="H1375">
        <v>475.92371042480897</v>
      </c>
      <c r="I1375" t="s">
        <v>264</v>
      </c>
      <c r="J1375" t="s">
        <v>265</v>
      </c>
      <c r="K1375">
        <v>54640</v>
      </c>
      <c r="L1375" t="s">
        <v>282</v>
      </c>
      <c r="M1375">
        <v>0.01</v>
      </c>
    </row>
    <row r="1376" spans="1:13" x14ac:dyDescent="0.25">
      <c r="A1376">
        <v>2016</v>
      </c>
      <c r="B1376" t="s">
        <v>259</v>
      </c>
      <c r="C1376">
        <v>27025</v>
      </c>
      <c r="D1376" t="s">
        <v>272</v>
      </c>
      <c r="E1376" t="s">
        <v>261</v>
      </c>
      <c r="F1376" t="s">
        <v>268</v>
      </c>
      <c r="G1376" t="s">
        <v>267</v>
      </c>
      <c r="H1376">
        <v>3545.6537807885302</v>
      </c>
      <c r="I1376" t="s">
        <v>264</v>
      </c>
      <c r="J1376" t="s">
        <v>265</v>
      </c>
      <c r="K1376">
        <v>54640</v>
      </c>
      <c r="L1376" t="s">
        <v>282</v>
      </c>
      <c r="M1376">
        <v>0.06</v>
      </c>
    </row>
    <row r="1377" spans="1:13" x14ac:dyDescent="0.25">
      <c r="A1377">
        <v>2016</v>
      </c>
      <c r="B1377" t="s">
        <v>259</v>
      </c>
      <c r="C1377">
        <v>27025</v>
      </c>
      <c r="D1377" t="s">
        <v>272</v>
      </c>
      <c r="E1377" t="s">
        <v>261</v>
      </c>
      <c r="F1377" t="s">
        <v>268</v>
      </c>
      <c r="G1377" t="s">
        <v>269</v>
      </c>
      <c r="H1377">
        <v>91.036719840293401</v>
      </c>
      <c r="I1377" t="s">
        <v>264</v>
      </c>
      <c r="J1377" t="s">
        <v>265</v>
      </c>
      <c r="K1377">
        <v>54640</v>
      </c>
      <c r="L1377" t="s">
        <v>282</v>
      </c>
      <c r="M1377">
        <v>0</v>
      </c>
    </row>
    <row r="1378" spans="1:13" x14ac:dyDescent="0.25">
      <c r="A1378">
        <v>2016</v>
      </c>
      <c r="B1378" t="s">
        <v>259</v>
      </c>
      <c r="C1378">
        <v>27025</v>
      </c>
      <c r="D1378" t="s">
        <v>272</v>
      </c>
      <c r="E1378" t="s">
        <v>261</v>
      </c>
      <c r="F1378" t="s">
        <v>270</v>
      </c>
      <c r="G1378" t="s">
        <v>263</v>
      </c>
      <c r="H1378">
        <v>12456.6819094683</v>
      </c>
      <c r="I1378" t="s">
        <v>264</v>
      </c>
      <c r="J1378" t="s">
        <v>265</v>
      </c>
      <c r="K1378">
        <v>54640</v>
      </c>
      <c r="L1378" t="s">
        <v>282</v>
      </c>
      <c r="M1378">
        <v>0.23</v>
      </c>
    </row>
    <row r="1379" spans="1:13" x14ac:dyDescent="0.25">
      <c r="A1379">
        <v>2016</v>
      </c>
      <c r="B1379" t="s">
        <v>259</v>
      </c>
      <c r="C1379">
        <v>27025</v>
      </c>
      <c r="D1379" t="s">
        <v>272</v>
      </c>
      <c r="E1379" t="s">
        <v>261</v>
      </c>
      <c r="F1379" t="s">
        <v>270</v>
      </c>
      <c r="G1379" t="s">
        <v>267</v>
      </c>
      <c r="H1379">
        <v>79584.827138915905</v>
      </c>
      <c r="I1379" t="s">
        <v>264</v>
      </c>
      <c r="J1379" t="s">
        <v>265</v>
      </c>
      <c r="K1379">
        <v>54640</v>
      </c>
      <c r="L1379" t="s">
        <v>282</v>
      </c>
      <c r="M1379">
        <v>1.46</v>
      </c>
    </row>
    <row r="1380" spans="1:13" x14ac:dyDescent="0.25">
      <c r="A1380">
        <v>2016</v>
      </c>
      <c r="B1380" t="s">
        <v>259</v>
      </c>
      <c r="C1380">
        <v>27025</v>
      </c>
      <c r="D1380" t="s">
        <v>272</v>
      </c>
      <c r="E1380" t="s">
        <v>261</v>
      </c>
      <c r="F1380" t="s">
        <v>270</v>
      </c>
      <c r="G1380" t="s">
        <v>269</v>
      </c>
      <c r="H1380">
        <v>39.993613737393602</v>
      </c>
      <c r="I1380" t="s">
        <v>264</v>
      </c>
      <c r="J1380" t="s">
        <v>265</v>
      </c>
      <c r="K1380">
        <v>54640</v>
      </c>
      <c r="L1380" t="s">
        <v>282</v>
      </c>
      <c r="M1380">
        <v>0</v>
      </c>
    </row>
    <row r="1381" spans="1:13" x14ac:dyDescent="0.25">
      <c r="A1381">
        <v>2016</v>
      </c>
      <c r="B1381" t="s">
        <v>259</v>
      </c>
      <c r="C1381">
        <v>27037</v>
      </c>
      <c r="D1381" t="s">
        <v>273</v>
      </c>
      <c r="E1381" t="s">
        <v>261</v>
      </c>
      <c r="F1381" t="s">
        <v>262</v>
      </c>
      <c r="G1381" t="s">
        <v>263</v>
      </c>
      <c r="H1381">
        <v>1389766.53786472</v>
      </c>
      <c r="I1381" t="s">
        <v>264</v>
      </c>
      <c r="J1381" t="s">
        <v>265</v>
      </c>
      <c r="K1381">
        <v>417783</v>
      </c>
      <c r="L1381" t="s">
        <v>282</v>
      </c>
      <c r="M1381">
        <v>3.33</v>
      </c>
    </row>
    <row r="1382" spans="1:13" x14ac:dyDescent="0.25">
      <c r="A1382">
        <v>2016</v>
      </c>
      <c r="B1382" t="s">
        <v>259</v>
      </c>
      <c r="C1382">
        <v>27037</v>
      </c>
      <c r="D1382" t="s">
        <v>273</v>
      </c>
      <c r="E1382" t="s">
        <v>261</v>
      </c>
      <c r="F1382" t="s">
        <v>262</v>
      </c>
      <c r="G1382" t="s">
        <v>267</v>
      </c>
      <c r="H1382">
        <v>21737.100710355098</v>
      </c>
      <c r="I1382" t="s">
        <v>264</v>
      </c>
      <c r="J1382" t="s">
        <v>265</v>
      </c>
      <c r="K1382">
        <v>417783</v>
      </c>
      <c r="L1382" t="s">
        <v>282</v>
      </c>
      <c r="M1382">
        <v>0.05</v>
      </c>
    </row>
    <row r="1383" spans="1:13" x14ac:dyDescent="0.25">
      <c r="A1383">
        <v>2016</v>
      </c>
      <c r="B1383" t="s">
        <v>259</v>
      </c>
      <c r="C1383">
        <v>27037</v>
      </c>
      <c r="D1383" t="s">
        <v>273</v>
      </c>
      <c r="E1383" t="s">
        <v>261</v>
      </c>
      <c r="F1383" t="s">
        <v>262</v>
      </c>
      <c r="G1383" t="s">
        <v>269</v>
      </c>
      <c r="H1383">
        <v>2293.8397252352802</v>
      </c>
      <c r="I1383" t="s">
        <v>264</v>
      </c>
      <c r="J1383" t="s">
        <v>265</v>
      </c>
      <c r="K1383">
        <v>417783</v>
      </c>
      <c r="L1383" t="s">
        <v>282</v>
      </c>
      <c r="M1383">
        <v>0.01</v>
      </c>
    </row>
    <row r="1384" spans="1:13" x14ac:dyDescent="0.25">
      <c r="A1384">
        <v>2016</v>
      </c>
      <c r="B1384" t="s">
        <v>259</v>
      </c>
      <c r="C1384">
        <v>27037</v>
      </c>
      <c r="D1384" t="s">
        <v>273</v>
      </c>
      <c r="E1384" t="s">
        <v>261</v>
      </c>
      <c r="F1384" t="s">
        <v>268</v>
      </c>
      <c r="G1384" t="s">
        <v>263</v>
      </c>
      <c r="H1384">
        <v>2364.8250500095301</v>
      </c>
      <c r="I1384" t="s">
        <v>264</v>
      </c>
      <c r="J1384" t="s">
        <v>265</v>
      </c>
      <c r="K1384">
        <v>417783</v>
      </c>
      <c r="L1384" t="s">
        <v>282</v>
      </c>
      <c r="M1384">
        <v>0.01</v>
      </c>
    </row>
    <row r="1385" spans="1:13" x14ac:dyDescent="0.25">
      <c r="A1385">
        <v>2016</v>
      </c>
      <c r="B1385" t="s">
        <v>259</v>
      </c>
      <c r="C1385">
        <v>27037</v>
      </c>
      <c r="D1385" t="s">
        <v>273</v>
      </c>
      <c r="E1385" t="s">
        <v>261</v>
      </c>
      <c r="F1385" t="s">
        <v>268</v>
      </c>
      <c r="G1385" t="s">
        <v>267</v>
      </c>
      <c r="H1385">
        <v>18164.632594170602</v>
      </c>
      <c r="I1385" t="s">
        <v>264</v>
      </c>
      <c r="J1385" t="s">
        <v>265</v>
      </c>
      <c r="K1385">
        <v>417783</v>
      </c>
      <c r="L1385" t="s">
        <v>282</v>
      </c>
      <c r="M1385">
        <v>0.04</v>
      </c>
    </row>
    <row r="1386" spans="1:13" x14ac:dyDescent="0.25">
      <c r="A1386">
        <v>2016</v>
      </c>
      <c r="B1386" t="s">
        <v>259</v>
      </c>
      <c r="C1386">
        <v>27037</v>
      </c>
      <c r="D1386" t="s">
        <v>273</v>
      </c>
      <c r="E1386" t="s">
        <v>261</v>
      </c>
      <c r="F1386" t="s">
        <v>268</v>
      </c>
      <c r="G1386" t="s">
        <v>269</v>
      </c>
      <c r="H1386">
        <v>28.672062778958399</v>
      </c>
      <c r="I1386" t="s">
        <v>264</v>
      </c>
      <c r="J1386" t="s">
        <v>265</v>
      </c>
      <c r="K1386">
        <v>417783</v>
      </c>
      <c r="L1386" t="s">
        <v>282</v>
      </c>
      <c r="M1386">
        <v>0</v>
      </c>
    </row>
    <row r="1387" spans="1:13" x14ac:dyDescent="0.25">
      <c r="A1387">
        <v>2016</v>
      </c>
      <c r="B1387" t="s">
        <v>259</v>
      </c>
      <c r="C1387">
        <v>27037</v>
      </c>
      <c r="D1387" t="s">
        <v>273</v>
      </c>
      <c r="E1387" t="s">
        <v>261</v>
      </c>
      <c r="F1387" t="s">
        <v>270</v>
      </c>
      <c r="G1387" t="s">
        <v>263</v>
      </c>
      <c r="H1387">
        <v>81637.303161223797</v>
      </c>
      <c r="I1387" t="s">
        <v>264</v>
      </c>
      <c r="J1387" t="s">
        <v>265</v>
      </c>
      <c r="K1387">
        <v>417783</v>
      </c>
      <c r="L1387" t="s">
        <v>282</v>
      </c>
      <c r="M1387">
        <v>0.2</v>
      </c>
    </row>
    <row r="1388" spans="1:13" x14ac:dyDescent="0.25">
      <c r="A1388">
        <v>2016</v>
      </c>
      <c r="B1388" t="s">
        <v>259</v>
      </c>
      <c r="C1388">
        <v>27037</v>
      </c>
      <c r="D1388" t="s">
        <v>273</v>
      </c>
      <c r="E1388" t="s">
        <v>261</v>
      </c>
      <c r="F1388" t="s">
        <v>270</v>
      </c>
      <c r="G1388" t="s">
        <v>267</v>
      </c>
      <c r="H1388">
        <v>405560.513252048</v>
      </c>
      <c r="I1388" t="s">
        <v>264</v>
      </c>
      <c r="J1388" t="s">
        <v>265</v>
      </c>
      <c r="K1388">
        <v>417783</v>
      </c>
      <c r="L1388" t="s">
        <v>282</v>
      </c>
      <c r="M1388">
        <v>0.97</v>
      </c>
    </row>
    <row r="1389" spans="1:13" x14ac:dyDescent="0.25">
      <c r="A1389">
        <v>2016</v>
      </c>
      <c r="B1389" t="s">
        <v>259</v>
      </c>
      <c r="C1389">
        <v>27037</v>
      </c>
      <c r="D1389" t="s">
        <v>273</v>
      </c>
      <c r="E1389" t="s">
        <v>261</v>
      </c>
      <c r="F1389" t="s">
        <v>270</v>
      </c>
      <c r="G1389" t="s">
        <v>269</v>
      </c>
      <c r="H1389">
        <v>221.22463743962001</v>
      </c>
      <c r="I1389" t="s">
        <v>264</v>
      </c>
      <c r="J1389" t="s">
        <v>265</v>
      </c>
      <c r="K1389">
        <v>417783</v>
      </c>
      <c r="L1389" t="s">
        <v>282</v>
      </c>
      <c r="M1389">
        <v>0</v>
      </c>
    </row>
    <row r="1390" spans="1:13" x14ac:dyDescent="0.25">
      <c r="A1390">
        <v>2016</v>
      </c>
      <c r="B1390" t="s">
        <v>259</v>
      </c>
      <c r="C1390">
        <v>27053</v>
      </c>
      <c r="D1390" t="s">
        <v>274</v>
      </c>
      <c r="E1390" t="s">
        <v>261</v>
      </c>
      <c r="F1390" t="s">
        <v>262</v>
      </c>
      <c r="G1390" t="s">
        <v>263</v>
      </c>
      <c r="H1390">
        <v>3773811.4433794902</v>
      </c>
      <c r="I1390" t="s">
        <v>264</v>
      </c>
      <c r="J1390" t="s">
        <v>265</v>
      </c>
      <c r="K1390">
        <v>1236183</v>
      </c>
      <c r="L1390" t="s">
        <v>282</v>
      </c>
      <c r="M1390">
        <v>3.05</v>
      </c>
    </row>
    <row r="1391" spans="1:13" x14ac:dyDescent="0.25">
      <c r="A1391">
        <v>2016</v>
      </c>
      <c r="B1391" t="s">
        <v>259</v>
      </c>
      <c r="C1391">
        <v>27053</v>
      </c>
      <c r="D1391" t="s">
        <v>274</v>
      </c>
      <c r="E1391" t="s">
        <v>261</v>
      </c>
      <c r="F1391" t="s">
        <v>262</v>
      </c>
      <c r="G1391" t="s">
        <v>267</v>
      </c>
      <c r="H1391">
        <v>42731.161602010798</v>
      </c>
      <c r="I1391" t="s">
        <v>264</v>
      </c>
      <c r="J1391" t="s">
        <v>265</v>
      </c>
      <c r="K1391">
        <v>1236183</v>
      </c>
      <c r="L1391" t="s">
        <v>282</v>
      </c>
      <c r="M1391">
        <v>0.03</v>
      </c>
    </row>
    <row r="1392" spans="1:13" x14ac:dyDescent="0.25">
      <c r="A1392">
        <v>2016</v>
      </c>
      <c r="B1392" t="s">
        <v>259</v>
      </c>
      <c r="C1392">
        <v>27053</v>
      </c>
      <c r="D1392" t="s">
        <v>274</v>
      </c>
      <c r="E1392" t="s">
        <v>261</v>
      </c>
      <c r="F1392" t="s">
        <v>262</v>
      </c>
      <c r="G1392" t="s">
        <v>269</v>
      </c>
      <c r="H1392">
        <v>5107.7829783856296</v>
      </c>
      <c r="I1392" t="s">
        <v>264</v>
      </c>
      <c r="J1392" t="s">
        <v>265</v>
      </c>
      <c r="K1392">
        <v>1236183</v>
      </c>
      <c r="L1392" t="s">
        <v>282</v>
      </c>
      <c r="M1392">
        <v>0</v>
      </c>
    </row>
    <row r="1393" spans="1:13" x14ac:dyDescent="0.25">
      <c r="A1393">
        <v>2016</v>
      </c>
      <c r="B1393" t="s">
        <v>259</v>
      </c>
      <c r="C1393">
        <v>27053</v>
      </c>
      <c r="D1393" t="s">
        <v>274</v>
      </c>
      <c r="E1393" t="s">
        <v>261</v>
      </c>
      <c r="F1393" t="s">
        <v>268</v>
      </c>
      <c r="G1393" t="s">
        <v>263</v>
      </c>
      <c r="H1393">
        <v>8426.2083910628007</v>
      </c>
      <c r="I1393" t="s">
        <v>264</v>
      </c>
      <c r="J1393" t="s">
        <v>265</v>
      </c>
      <c r="K1393">
        <v>1236183</v>
      </c>
      <c r="L1393" t="s">
        <v>282</v>
      </c>
      <c r="M1393">
        <v>0.01</v>
      </c>
    </row>
    <row r="1394" spans="1:13" x14ac:dyDescent="0.25">
      <c r="A1394">
        <v>2016</v>
      </c>
      <c r="B1394" t="s">
        <v>259</v>
      </c>
      <c r="C1394">
        <v>27053</v>
      </c>
      <c r="D1394" t="s">
        <v>274</v>
      </c>
      <c r="E1394" t="s">
        <v>261</v>
      </c>
      <c r="F1394" t="s">
        <v>268</v>
      </c>
      <c r="G1394" t="s">
        <v>267</v>
      </c>
      <c r="H1394">
        <v>50882.516035141598</v>
      </c>
      <c r="I1394" t="s">
        <v>264</v>
      </c>
      <c r="J1394" t="s">
        <v>265</v>
      </c>
      <c r="K1394">
        <v>1236183</v>
      </c>
      <c r="L1394" t="s">
        <v>282</v>
      </c>
      <c r="M1394">
        <v>0.04</v>
      </c>
    </row>
    <row r="1395" spans="1:13" x14ac:dyDescent="0.25">
      <c r="A1395">
        <v>2016</v>
      </c>
      <c r="B1395" t="s">
        <v>259</v>
      </c>
      <c r="C1395">
        <v>27053</v>
      </c>
      <c r="D1395" t="s">
        <v>274</v>
      </c>
      <c r="E1395" t="s">
        <v>261</v>
      </c>
      <c r="F1395" t="s">
        <v>268</v>
      </c>
      <c r="G1395" t="s">
        <v>269</v>
      </c>
      <c r="H1395">
        <v>8.7224476756935204E-2</v>
      </c>
      <c r="I1395" t="s">
        <v>264</v>
      </c>
      <c r="J1395" t="s">
        <v>265</v>
      </c>
      <c r="K1395">
        <v>1236183</v>
      </c>
      <c r="L1395" t="s">
        <v>282</v>
      </c>
      <c r="M1395">
        <v>0</v>
      </c>
    </row>
    <row r="1396" spans="1:13" x14ac:dyDescent="0.25">
      <c r="A1396">
        <v>2016</v>
      </c>
      <c r="B1396" t="s">
        <v>259</v>
      </c>
      <c r="C1396">
        <v>27053</v>
      </c>
      <c r="D1396" t="s">
        <v>274</v>
      </c>
      <c r="E1396" t="s">
        <v>261</v>
      </c>
      <c r="F1396" t="s">
        <v>270</v>
      </c>
      <c r="G1396" t="s">
        <v>263</v>
      </c>
      <c r="H1396">
        <v>341656.29215551598</v>
      </c>
      <c r="I1396" t="s">
        <v>264</v>
      </c>
      <c r="J1396" t="s">
        <v>265</v>
      </c>
      <c r="K1396">
        <v>1236183</v>
      </c>
      <c r="L1396" t="s">
        <v>282</v>
      </c>
      <c r="M1396">
        <v>0.28000000000000003</v>
      </c>
    </row>
    <row r="1397" spans="1:13" x14ac:dyDescent="0.25">
      <c r="A1397">
        <v>2016</v>
      </c>
      <c r="B1397" t="s">
        <v>259</v>
      </c>
      <c r="C1397">
        <v>27053</v>
      </c>
      <c r="D1397" t="s">
        <v>274</v>
      </c>
      <c r="E1397" t="s">
        <v>261</v>
      </c>
      <c r="F1397" t="s">
        <v>270</v>
      </c>
      <c r="G1397" t="s">
        <v>267</v>
      </c>
      <c r="H1397">
        <v>1081191.1631717901</v>
      </c>
      <c r="I1397" t="s">
        <v>264</v>
      </c>
      <c r="J1397" t="s">
        <v>265</v>
      </c>
      <c r="K1397">
        <v>1236183</v>
      </c>
      <c r="L1397" t="s">
        <v>282</v>
      </c>
      <c r="M1397">
        <v>0.87</v>
      </c>
    </row>
    <row r="1398" spans="1:13" x14ac:dyDescent="0.25">
      <c r="A1398">
        <v>2016</v>
      </c>
      <c r="B1398" t="s">
        <v>259</v>
      </c>
      <c r="C1398">
        <v>27053</v>
      </c>
      <c r="D1398" t="s">
        <v>274</v>
      </c>
      <c r="E1398" t="s">
        <v>261</v>
      </c>
      <c r="F1398" t="s">
        <v>270</v>
      </c>
      <c r="G1398" t="s">
        <v>269</v>
      </c>
      <c r="H1398">
        <v>812.23052494501201</v>
      </c>
      <c r="I1398" t="s">
        <v>264</v>
      </c>
      <c r="J1398" t="s">
        <v>265</v>
      </c>
      <c r="K1398">
        <v>1236183</v>
      </c>
      <c r="L1398" t="s">
        <v>282</v>
      </c>
      <c r="M1398">
        <v>0</v>
      </c>
    </row>
    <row r="1399" spans="1:13" x14ac:dyDescent="0.25">
      <c r="A1399">
        <v>2016</v>
      </c>
      <c r="B1399" t="s">
        <v>259</v>
      </c>
      <c r="C1399">
        <v>27123</v>
      </c>
      <c r="D1399" t="s">
        <v>275</v>
      </c>
      <c r="E1399" t="s">
        <v>261</v>
      </c>
      <c r="F1399" t="s">
        <v>262</v>
      </c>
      <c r="G1399" t="s">
        <v>263</v>
      </c>
      <c r="H1399">
        <v>1599600.8838683199</v>
      </c>
      <c r="I1399" t="s">
        <v>264</v>
      </c>
      <c r="J1399" t="s">
        <v>265</v>
      </c>
      <c r="K1399">
        <v>541635</v>
      </c>
      <c r="L1399" t="s">
        <v>282</v>
      </c>
      <c r="M1399">
        <v>2.95</v>
      </c>
    </row>
    <row r="1400" spans="1:13" x14ac:dyDescent="0.25">
      <c r="A1400">
        <v>2016</v>
      </c>
      <c r="B1400" t="s">
        <v>259</v>
      </c>
      <c r="C1400">
        <v>27123</v>
      </c>
      <c r="D1400" t="s">
        <v>275</v>
      </c>
      <c r="E1400" t="s">
        <v>261</v>
      </c>
      <c r="F1400" t="s">
        <v>262</v>
      </c>
      <c r="G1400" t="s">
        <v>267</v>
      </c>
      <c r="H1400">
        <v>16895.035451213</v>
      </c>
      <c r="I1400" t="s">
        <v>264</v>
      </c>
      <c r="J1400" t="s">
        <v>265</v>
      </c>
      <c r="K1400">
        <v>541635</v>
      </c>
      <c r="L1400" t="s">
        <v>282</v>
      </c>
      <c r="M1400">
        <v>0.03</v>
      </c>
    </row>
    <row r="1401" spans="1:13" x14ac:dyDescent="0.25">
      <c r="A1401">
        <v>2016</v>
      </c>
      <c r="B1401" t="s">
        <v>259</v>
      </c>
      <c r="C1401">
        <v>27123</v>
      </c>
      <c r="D1401" t="s">
        <v>275</v>
      </c>
      <c r="E1401" t="s">
        <v>261</v>
      </c>
      <c r="F1401" t="s">
        <v>262</v>
      </c>
      <c r="G1401" t="s">
        <v>269</v>
      </c>
      <c r="H1401">
        <v>2020.3549621458901</v>
      </c>
      <c r="I1401" t="s">
        <v>264</v>
      </c>
      <c r="J1401" t="s">
        <v>265</v>
      </c>
      <c r="K1401">
        <v>541635</v>
      </c>
      <c r="L1401" t="s">
        <v>282</v>
      </c>
      <c r="M1401">
        <v>0</v>
      </c>
    </row>
    <row r="1402" spans="1:13" x14ac:dyDescent="0.25">
      <c r="A1402">
        <v>2016</v>
      </c>
      <c r="B1402" t="s">
        <v>259</v>
      </c>
      <c r="C1402">
        <v>27123</v>
      </c>
      <c r="D1402" t="s">
        <v>275</v>
      </c>
      <c r="E1402" t="s">
        <v>261</v>
      </c>
      <c r="F1402" t="s">
        <v>268</v>
      </c>
      <c r="G1402" t="s">
        <v>263</v>
      </c>
      <c r="H1402">
        <v>3444.23515840758</v>
      </c>
      <c r="I1402" t="s">
        <v>264</v>
      </c>
      <c r="J1402" t="s">
        <v>265</v>
      </c>
      <c r="K1402">
        <v>541635</v>
      </c>
      <c r="L1402" t="s">
        <v>282</v>
      </c>
      <c r="M1402">
        <v>0.01</v>
      </c>
    </row>
    <row r="1403" spans="1:13" x14ac:dyDescent="0.25">
      <c r="A1403">
        <v>2016</v>
      </c>
      <c r="B1403" t="s">
        <v>259</v>
      </c>
      <c r="C1403">
        <v>27123</v>
      </c>
      <c r="D1403" t="s">
        <v>275</v>
      </c>
      <c r="E1403" t="s">
        <v>261</v>
      </c>
      <c r="F1403" t="s">
        <v>268</v>
      </c>
      <c r="G1403" t="s">
        <v>267</v>
      </c>
      <c r="H1403">
        <v>19883.6452596577</v>
      </c>
      <c r="I1403" t="s">
        <v>264</v>
      </c>
      <c r="J1403" t="s">
        <v>265</v>
      </c>
      <c r="K1403">
        <v>541635</v>
      </c>
      <c r="L1403" t="s">
        <v>282</v>
      </c>
      <c r="M1403">
        <v>0.04</v>
      </c>
    </row>
    <row r="1404" spans="1:13" x14ac:dyDescent="0.25">
      <c r="A1404">
        <v>2016</v>
      </c>
      <c r="B1404" t="s">
        <v>259</v>
      </c>
      <c r="C1404">
        <v>27123</v>
      </c>
      <c r="D1404" t="s">
        <v>275</v>
      </c>
      <c r="E1404" t="s">
        <v>261</v>
      </c>
      <c r="F1404" t="s">
        <v>268</v>
      </c>
      <c r="G1404" t="s">
        <v>269</v>
      </c>
      <c r="H1404">
        <v>107.73429131969201</v>
      </c>
      <c r="I1404" t="s">
        <v>264</v>
      </c>
      <c r="J1404" t="s">
        <v>265</v>
      </c>
      <c r="K1404">
        <v>541635</v>
      </c>
      <c r="L1404" t="s">
        <v>282</v>
      </c>
      <c r="M1404">
        <v>0</v>
      </c>
    </row>
    <row r="1405" spans="1:13" x14ac:dyDescent="0.25">
      <c r="A1405">
        <v>2016</v>
      </c>
      <c r="B1405" t="s">
        <v>259</v>
      </c>
      <c r="C1405">
        <v>27123</v>
      </c>
      <c r="D1405" t="s">
        <v>275</v>
      </c>
      <c r="E1405" t="s">
        <v>261</v>
      </c>
      <c r="F1405" t="s">
        <v>270</v>
      </c>
      <c r="G1405" t="s">
        <v>263</v>
      </c>
      <c r="H1405">
        <v>133934.41891340399</v>
      </c>
      <c r="I1405" t="s">
        <v>264</v>
      </c>
      <c r="J1405" t="s">
        <v>265</v>
      </c>
      <c r="K1405">
        <v>541635</v>
      </c>
      <c r="L1405" t="s">
        <v>282</v>
      </c>
      <c r="M1405">
        <v>0.25</v>
      </c>
    </row>
    <row r="1406" spans="1:13" x14ac:dyDescent="0.25">
      <c r="A1406">
        <v>2016</v>
      </c>
      <c r="B1406" t="s">
        <v>259</v>
      </c>
      <c r="C1406">
        <v>27123</v>
      </c>
      <c r="D1406" t="s">
        <v>275</v>
      </c>
      <c r="E1406" t="s">
        <v>261</v>
      </c>
      <c r="F1406" t="s">
        <v>270</v>
      </c>
      <c r="G1406" t="s">
        <v>267</v>
      </c>
      <c r="H1406">
        <v>460989.27844422701</v>
      </c>
      <c r="I1406" t="s">
        <v>264</v>
      </c>
      <c r="J1406" t="s">
        <v>265</v>
      </c>
      <c r="K1406">
        <v>541635</v>
      </c>
      <c r="L1406" t="s">
        <v>282</v>
      </c>
      <c r="M1406">
        <v>0.85</v>
      </c>
    </row>
    <row r="1407" spans="1:13" x14ac:dyDescent="0.25">
      <c r="A1407">
        <v>2016</v>
      </c>
      <c r="B1407" t="s">
        <v>259</v>
      </c>
      <c r="C1407">
        <v>27123</v>
      </c>
      <c r="D1407" t="s">
        <v>275</v>
      </c>
      <c r="E1407" t="s">
        <v>261</v>
      </c>
      <c r="F1407" t="s">
        <v>270</v>
      </c>
      <c r="G1407" t="s">
        <v>269</v>
      </c>
      <c r="H1407">
        <v>376.955459699345</v>
      </c>
      <c r="I1407" t="s">
        <v>264</v>
      </c>
      <c r="J1407" t="s">
        <v>265</v>
      </c>
      <c r="K1407">
        <v>541635</v>
      </c>
      <c r="L1407" t="s">
        <v>282</v>
      </c>
      <c r="M1407">
        <v>0</v>
      </c>
    </row>
    <row r="1408" spans="1:13" x14ac:dyDescent="0.25">
      <c r="A1408">
        <v>2016</v>
      </c>
      <c r="B1408" t="s">
        <v>259</v>
      </c>
      <c r="C1408">
        <v>27139</v>
      </c>
      <c r="D1408" t="s">
        <v>276</v>
      </c>
      <c r="E1408" t="s">
        <v>261</v>
      </c>
      <c r="F1408" t="s">
        <v>262</v>
      </c>
      <c r="G1408" t="s">
        <v>263</v>
      </c>
      <c r="H1408">
        <v>456419.02231729601</v>
      </c>
      <c r="I1408" t="s">
        <v>264</v>
      </c>
      <c r="J1408" t="s">
        <v>265</v>
      </c>
      <c r="K1408">
        <v>143393</v>
      </c>
      <c r="L1408" t="s">
        <v>282</v>
      </c>
      <c r="M1408">
        <v>3.18</v>
      </c>
    </row>
    <row r="1409" spans="1:13" x14ac:dyDescent="0.25">
      <c r="A1409">
        <v>2016</v>
      </c>
      <c r="B1409" t="s">
        <v>259</v>
      </c>
      <c r="C1409">
        <v>27139</v>
      </c>
      <c r="D1409" t="s">
        <v>276</v>
      </c>
      <c r="E1409" t="s">
        <v>261</v>
      </c>
      <c r="F1409" t="s">
        <v>262</v>
      </c>
      <c r="G1409" t="s">
        <v>267</v>
      </c>
      <c r="H1409">
        <v>11699.764348848499</v>
      </c>
      <c r="I1409" t="s">
        <v>264</v>
      </c>
      <c r="J1409" t="s">
        <v>265</v>
      </c>
      <c r="K1409">
        <v>143393</v>
      </c>
      <c r="L1409" t="s">
        <v>282</v>
      </c>
      <c r="M1409">
        <v>0.08</v>
      </c>
    </row>
    <row r="1410" spans="1:13" x14ac:dyDescent="0.25">
      <c r="A1410">
        <v>2016</v>
      </c>
      <c r="B1410" t="s">
        <v>259</v>
      </c>
      <c r="C1410">
        <v>27139</v>
      </c>
      <c r="D1410" t="s">
        <v>276</v>
      </c>
      <c r="E1410" t="s">
        <v>261</v>
      </c>
      <c r="F1410" t="s">
        <v>262</v>
      </c>
      <c r="G1410" t="s">
        <v>269</v>
      </c>
      <c r="H1410">
        <v>861.65464290132104</v>
      </c>
      <c r="I1410" t="s">
        <v>264</v>
      </c>
      <c r="J1410" t="s">
        <v>265</v>
      </c>
      <c r="K1410">
        <v>143393</v>
      </c>
      <c r="L1410" t="s">
        <v>282</v>
      </c>
      <c r="M1410">
        <v>0.01</v>
      </c>
    </row>
    <row r="1411" spans="1:13" x14ac:dyDescent="0.25">
      <c r="A1411">
        <v>2016</v>
      </c>
      <c r="B1411" t="s">
        <v>259</v>
      </c>
      <c r="C1411">
        <v>27139</v>
      </c>
      <c r="D1411" t="s">
        <v>276</v>
      </c>
      <c r="E1411" t="s">
        <v>261</v>
      </c>
      <c r="F1411" t="s">
        <v>268</v>
      </c>
      <c r="G1411" t="s">
        <v>263</v>
      </c>
      <c r="H1411">
        <v>890.11598389961</v>
      </c>
      <c r="I1411" t="s">
        <v>264</v>
      </c>
      <c r="J1411" t="s">
        <v>265</v>
      </c>
      <c r="K1411">
        <v>143393</v>
      </c>
      <c r="L1411" t="s">
        <v>282</v>
      </c>
      <c r="M1411">
        <v>0.01</v>
      </c>
    </row>
    <row r="1412" spans="1:13" x14ac:dyDescent="0.25">
      <c r="A1412">
        <v>2016</v>
      </c>
      <c r="B1412" t="s">
        <v>259</v>
      </c>
      <c r="C1412">
        <v>27139</v>
      </c>
      <c r="D1412" t="s">
        <v>276</v>
      </c>
      <c r="E1412" t="s">
        <v>261</v>
      </c>
      <c r="F1412" t="s">
        <v>268</v>
      </c>
      <c r="G1412" t="s">
        <v>267</v>
      </c>
      <c r="H1412">
        <v>5773.02815146784</v>
      </c>
      <c r="I1412" t="s">
        <v>264</v>
      </c>
      <c r="J1412" t="s">
        <v>265</v>
      </c>
      <c r="K1412">
        <v>143393</v>
      </c>
      <c r="L1412" t="s">
        <v>282</v>
      </c>
      <c r="M1412">
        <v>0.04</v>
      </c>
    </row>
    <row r="1413" spans="1:13" x14ac:dyDescent="0.25">
      <c r="A1413">
        <v>2016</v>
      </c>
      <c r="B1413" t="s">
        <v>259</v>
      </c>
      <c r="C1413">
        <v>27139</v>
      </c>
      <c r="D1413" t="s">
        <v>276</v>
      </c>
      <c r="E1413" t="s">
        <v>261</v>
      </c>
      <c r="F1413" t="s">
        <v>268</v>
      </c>
      <c r="G1413" t="s">
        <v>269</v>
      </c>
      <c r="H1413">
        <v>77.214266291102504</v>
      </c>
      <c r="I1413" t="s">
        <v>264</v>
      </c>
      <c r="J1413" t="s">
        <v>265</v>
      </c>
      <c r="K1413">
        <v>143393</v>
      </c>
      <c r="L1413" t="s">
        <v>282</v>
      </c>
      <c r="M1413">
        <v>0</v>
      </c>
    </row>
    <row r="1414" spans="1:13" x14ac:dyDescent="0.25">
      <c r="A1414">
        <v>2016</v>
      </c>
      <c r="B1414" t="s">
        <v>259</v>
      </c>
      <c r="C1414">
        <v>27139</v>
      </c>
      <c r="D1414" t="s">
        <v>276</v>
      </c>
      <c r="E1414" t="s">
        <v>261</v>
      </c>
      <c r="F1414" t="s">
        <v>270</v>
      </c>
      <c r="G1414" t="s">
        <v>263</v>
      </c>
      <c r="H1414">
        <v>27257.748992327601</v>
      </c>
      <c r="I1414" t="s">
        <v>264</v>
      </c>
      <c r="J1414" t="s">
        <v>265</v>
      </c>
      <c r="K1414">
        <v>143393</v>
      </c>
      <c r="L1414" t="s">
        <v>282</v>
      </c>
      <c r="M1414">
        <v>0.19</v>
      </c>
    </row>
    <row r="1415" spans="1:13" x14ac:dyDescent="0.25">
      <c r="A1415">
        <v>2016</v>
      </c>
      <c r="B1415" t="s">
        <v>259</v>
      </c>
      <c r="C1415">
        <v>27139</v>
      </c>
      <c r="D1415" t="s">
        <v>276</v>
      </c>
      <c r="E1415" t="s">
        <v>261</v>
      </c>
      <c r="F1415" t="s">
        <v>270</v>
      </c>
      <c r="G1415" t="s">
        <v>267</v>
      </c>
      <c r="H1415">
        <v>129914.382440029</v>
      </c>
      <c r="I1415" t="s">
        <v>264</v>
      </c>
      <c r="J1415" t="s">
        <v>265</v>
      </c>
      <c r="K1415">
        <v>143393</v>
      </c>
      <c r="L1415" t="s">
        <v>282</v>
      </c>
      <c r="M1415">
        <v>0.91</v>
      </c>
    </row>
    <row r="1416" spans="1:13" x14ac:dyDescent="0.25">
      <c r="A1416">
        <v>2016</v>
      </c>
      <c r="B1416" t="s">
        <v>259</v>
      </c>
      <c r="C1416">
        <v>27139</v>
      </c>
      <c r="D1416" t="s">
        <v>276</v>
      </c>
      <c r="E1416" t="s">
        <v>261</v>
      </c>
      <c r="F1416" t="s">
        <v>270</v>
      </c>
      <c r="G1416" t="s">
        <v>269</v>
      </c>
      <c r="H1416">
        <v>73.103896374385997</v>
      </c>
      <c r="I1416" t="s">
        <v>264</v>
      </c>
      <c r="J1416" t="s">
        <v>265</v>
      </c>
      <c r="K1416">
        <v>143393</v>
      </c>
      <c r="L1416" t="s">
        <v>282</v>
      </c>
      <c r="M1416">
        <v>0</v>
      </c>
    </row>
    <row r="1417" spans="1:13" x14ac:dyDescent="0.25">
      <c r="A1417">
        <v>2016</v>
      </c>
      <c r="B1417" t="s">
        <v>259</v>
      </c>
      <c r="C1417">
        <v>27141</v>
      </c>
      <c r="D1417" t="s">
        <v>277</v>
      </c>
      <c r="E1417" t="s">
        <v>261</v>
      </c>
      <c r="F1417" t="s">
        <v>262</v>
      </c>
      <c r="G1417" t="s">
        <v>263</v>
      </c>
      <c r="H1417">
        <v>302957.22277760098</v>
      </c>
      <c r="I1417" t="s">
        <v>264</v>
      </c>
      <c r="J1417" t="s">
        <v>265</v>
      </c>
      <c r="K1417">
        <v>93247</v>
      </c>
      <c r="L1417" t="s">
        <v>282</v>
      </c>
      <c r="M1417">
        <v>3.25</v>
      </c>
    </row>
    <row r="1418" spans="1:13" x14ac:dyDescent="0.25">
      <c r="A1418">
        <v>2016</v>
      </c>
      <c r="B1418" t="s">
        <v>259</v>
      </c>
      <c r="C1418">
        <v>27141</v>
      </c>
      <c r="D1418" t="s">
        <v>277</v>
      </c>
      <c r="E1418" t="s">
        <v>261</v>
      </c>
      <c r="F1418" t="s">
        <v>262</v>
      </c>
      <c r="G1418" t="s">
        <v>267</v>
      </c>
      <c r="H1418">
        <v>13486.312400917501</v>
      </c>
      <c r="I1418" t="s">
        <v>264</v>
      </c>
      <c r="J1418" t="s">
        <v>265</v>
      </c>
      <c r="K1418">
        <v>93247</v>
      </c>
      <c r="L1418" t="s">
        <v>282</v>
      </c>
      <c r="M1418">
        <v>0.14000000000000001</v>
      </c>
    </row>
    <row r="1419" spans="1:13" x14ac:dyDescent="0.25">
      <c r="A1419">
        <v>2016</v>
      </c>
      <c r="B1419" t="s">
        <v>259</v>
      </c>
      <c r="C1419">
        <v>27141</v>
      </c>
      <c r="D1419" t="s">
        <v>277</v>
      </c>
      <c r="E1419" t="s">
        <v>261</v>
      </c>
      <c r="F1419" t="s">
        <v>262</v>
      </c>
      <c r="G1419" t="s">
        <v>269</v>
      </c>
      <c r="H1419">
        <v>651.109575074688</v>
      </c>
      <c r="I1419" t="s">
        <v>264</v>
      </c>
      <c r="J1419" t="s">
        <v>265</v>
      </c>
      <c r="K1419">
        <v>93247</v>
      </c>
      <c r="L1419" t="s">
        <v>282</v>
      </c>
      <c r="M1419">
        <v>0.01</v>
      </c>
    </row>
    <row r="1420" spans="1:13" x14ac:dyDescent="0.25">
      <c r="A1420">
        <v>2016</v>
      </c>
      <c r="B1420" t="s">
        <v>259</v>
      </c>
      <c r="C1420">
        <v>27141</v>
      </c>
      <c r="D1420" t="s">
        <v>277</v>
      </c>
      <c r="E1420" t="s">
        <v>261</v>
      </c>
      <c r="F1420" t="s">
        <v>268</v>
      </c>
      <c r="G1420" t="s">
        <v>263</v>
      </c>
      <c r="H1420">
        <v>315.98052861070698</v>
      </c>
      <c r="I1420" t="s">
        <v>264</v>
      </c>
      <c r="J1420" t="s">
        <v>265</v>
      </c>
      <c r="K1420">
        <v>93247</v>
      </c>
      <c r="L1420" t="s">
        <v>282</v>
      </c>
      <c r="M1420">
        <v>0</v>
      </c>
    </row>
    <row r="1421" spans="1:13" x14ac:dyDescent="0.25">
      <c r="A1421">
        <v>2016</v>
      </c>
      <c r="B1421" t="s">
        <v>259</v>
      </c>
      <c r="C1421">
        <v>27141</v>
      </c>
      <c r="D1421" t="s">
        <v>277</v>
      </c>
      <c r="E1421" t="s">
        <v>261</v>
      </c>
      <c r="F1421" t="s">
        <v>268</v>
      </c>
      <c r="G1421" t="s">
        <v>267</v>
      </c>
      <c r="H1421">
        <v>3875.08607326022</v>
      </c>
      <c r="I1421" t="s">
        <v>264</v>
      </c>
      <c r="J1421" t="s">
        <v>265</v>
      </c>
      <c r="K1421">
        <v>93247</v>
      </c>
      <c r="L1421" t="s">
        <v>282</v>
      </c>
      <c r="M1421">
        <v>0.04</v>
      </c>
    </row>
    <row r="1422" spans="1:13" x14ac:dyDescent="0.25">
      <c r="A1422">
        <v>2016</v>
      </c>
      <c r="B1422" t="s">
        <v>259</v>
      </c>
      <c r="C1422">
        <v>27141</v>
      </c>
      <c r="D1422" t="s">
        <v>277</v>
      </c>
      <c r="E1422" t="s">
        <v>261</v>
      </c>
      <c r="F1422" t="s">
        <v>268</v>
      </c>
      <c r="G1422" t="s">
        <v>269</v>
      </c>
      <c r="H1422">
        <v>76.244635337562102</v>
      </c>
      <c r="I1422" t="s">
        <v>264</v>
      </c>
      <c r="J1422" t="s">
        <v>265</v>
      </c>
      <c r="K1422">
        <v>93247</v>
      </c>
      <c r="L1422" t="s">
        <v>282</v>
      </c>
      <c r="M1422">
        <v>0</v>
      </c>
    </row>
    <row r="1423" spans="1:13" x14ac:dyDescent="0.25">
      <c r="A1423">
        <v>2016</v>
      </c>
      <c r="B1423" t="s">
        <v>259</v>
      </c>
      <c r="C1423">
        <v>27141</v>
      </c>
      <c r="D1423" t="s">
        <v>277</v>
      </c>
      <c r="E1423" t="s">
        <v>261</v>
      </c>
      <c r="F1423" t="s">
        <v>270</v>
      </c>
      <c r="G1423" t="s">
        <v>263</v>
      </c>
      <c r="H1423">
        <v>15876.6784308879</v>
      </c>
      <c r="I1423" t="s">
        <v>264</v>
      </c>
      <c r="J1423" t="s">
        <v>265</v>
      </c>
      <c r="K1423">
        <v>93247</v>
      </c>
      <c r="L1423" t="s">
        <v>282</v>
      </c>
      <c r="M1423">
        <v>0.17</v>
      </c>
    </row>
    <row r="1424" spans="1:13" x14ac:dyDescent="0.25">
      <c r="A1424">
        <v>2016</v>
      </c>
      <c r="B1424" t="s">
        <v>259</v>
      </c>
      <c r="C1424">
        <v>27141</v>
      </c>
      <c r="D1424" t="s">
        <v>277</v>
      </c>
      <c r="E1424" t="s">
        <v>261</v>
      </c>
      <c r="F1424" t="s">
        <v>270</v>
      </c>
      <c r="G1424" t="s">
        <v>267</v>
      </c>
      <c r="H1424">
        <v>87115.994062366095</v>
      </c>
      <c r="I1424" t="s">
        <v>264</v>
      </c>
      <c r="J1424" t="s">
        <v>265</v>
      </c>
      <c r="K1424">
        <v>93247</v>
      </c>
      <c r="L1424" t="s">
        <v>282</v>
      </c>
      <c r="M1424">
        <v>0.93</v>
      </c>
    </row>
    <row r="1425" spans="1:13" x14ac:dyDescent="0.25">
      <c r="A1425">
        <v>2016</v>
      </c>
      <c r="B1425" t="s">
        <v>259</v>
      </c>
      <c r="C1425">
        <v>27141</v>
      </c>
      <c r="D1425" t="s">
        <v>277</v>
      </c>
      <c r="E1425" t="s">
        <v>261</v>
      </c>
      <c r="F1425" t="s">
        <v>270</v>
      </c>
      <c r="G1425" t="s">
        <v>269</v>
      </c>
      <c r="H1425">
        <v>70.905598774701602</v>
      </c>
      <c r="I1425" t="s">
        <v>264</v>
      </c>
      <c r="J1425" t="s">
        <v>265</v>
      </c>
      <c r="K1425">
        <v>93247</v>
      </c>
      <c r="L1425" t="s">
        <v>282</v>
      </c>
      <c r="M1425">
        <v>0</v>
      </c>
    </row>
    <row r="1426" spans="1:13" x14ac:dyDescent="0.25">
      <c r="A1426">
        <v>2016</v>
      </c>
      <c r="B1426" t="s">
        <v>259</v>
      </c>
      <c r="C1426">
        <v>27163</v>
      </c>
      <c r="D1426" t="s">
        <v>278</v>
      </c>
      <c r="E1426" t="s">
        <v>261</v>
      </c>
      <c r="F1426" t="s">
        <v>262</v>
      </c>
      <c r="G1426" t="s">
        <v>263</v>
      </c>
      <c r="H1426">
        <v>821047.32548186101</v>
      </c>
      <c r="I1426" t="s">
        <v>264</v>
      </c>
      <c r="J1426" t="s">
        <v>265</v>
      </c>
      <c r="K1426">
        <v>252655</v>
      </c>
      <c r="L1426" t="s">
        <v>282</v>
      </c>
      <c r="M1426">
        <v>3.25</v>
      </c>
    </row>
    <row r="1427" spans="1:13" x14ac:dyDescent="0.25">
      <c r="A1427">
        <v>2016</v>
      </c>
      <c r="B1427" t="s">
        <v>259</v>
      </c>
      <c r="C1427">
        <v>27163</v>
      </c>
      <c r="D1427" t="s">
        <v>278</v>
      </c>
      <c r="E1427" t="s">
        <v>261</v>
      </c>
      <c r="F1427" t="s">
        <v>262</v>
      </c>
      <c r="G1427" t="s">
        <v>267</v>
      </c>
      <c r="H1427">
        <v>17978.075621452201</v>
      </c>
      <c r="I1427" t="s">
        <v>264</v>
      </c>
      <c r="J1427" t="s">
        <v>265</v>
      </c>
      <c r="K1427">
        <v>252655</v>
      </c>
      <c r="L1427" t="s">
        <v>282</v>
      </c>
      <c r="M1427">
        <v>7.0000000000000007E-2</v>
      </c>
    </row>
    <row r="1428" spans="1:13" x14ac:dyDescent="0.25">
      <c r="A1428">
        <v>2016</v>
      </c>
      <c r="B1428" t="s">
        <v>259</v>
      </c>
      <c r="C1428">
        <v>27163</v>
      </c>
      <c r="D1428" t="s">
        <v>278</v>
      </c>
      <c r="E1428" t="s">
        <v>261</v>
      </c>
      <c r="F1428" t="s">
        <v>262</v>
      </c>
      <c r="G1428" t="s">
        <v>269</v>
      </c>
      <c r="H1428">
        <v>1445.7362575929001</v>
      </c>
      <c r="I1428" t="s">
        <v>264</v>
      </c>
      <c r="J1428" t="s">
        <v>265</v>
      </c>
      <c r="K1428">
        <v>252655</v>
      </c>
      <c r="L1428" t="s">
        <v>282</v>
      </c>
      <c r="M1428">
        <v>0.01</v>
      </c>
    </row>
    <row r="1429" spans="1:13" x14ac:dyDescent="0.25">
      <c r="A1429">
        <v>2016</v>
      </c>
      <c r="B1429" t="s">
        <v>259</v>
      </c>
      <c r="C1429">
        <v>27163</v>
      </c>
      <c r="D1429" t="s">
        <v>278</v>
      </c>
      <c r="E1429" t="s">
        <v>261</v>
      </c>
      <c r="F1429" t="s">
        <v>268</v>
      </c>
      <c r="G1429" t="s">
        <v>263</v>
      </c>
      <c r="H1429">
        <v>597.393168287202</v>
      </c>
      <c r="I1429" t="s">
        <v>264</v>
      </c>
      <c r="J1429" t="s">
        <v>265</v>
      </c>
      <c r="K1429">
        <v>252655</v>
      </c>
      <c r="L1429" t="s">
        <v>282</v>
      </c>
      <c r="M1429">
        <v>0</v>
      </c>
    </row>
    <row r="1430" spans="1:13" x14ac:dyDescent="0.25">
      <c r="A1430">
        <v>2016</v>
      </c>
      <c r="B1430" t="s">
        <v>259</v>
      </c>
      <c r="C1430">
        <v>27163</v>
      </c>
      <c r="D1430" t="s">
        <v>278</v>
      </c>
      <c r="E1430" t="s">
        <v>261</v>
      </c>
      <c r="F1430" t="s">
        <v>268</v>
      </c>
      <c r="G1430" t="s">
        <v>267</v>
      </c>
      <c r="H1430">
        <v>11400.294072050199</v>
      </c>
      <c r="I1430" t="s">
        <v>264</v>
      </c>
      <c r="J1430" t="s">
        <v>265</v>
      </c>
      <c r="K1430">
        <v>252655</v>
      </c>
      <c r="L1430" t="s">
        <v>282</v>
      </c>
      <c r="M1430">
        <v>0.05</v>
      </c>
    </row>
    <row r="1431" spans="1:13" x14ac:dyDescent="0.25">
      <c r="A1431">
        <v>2016</v>
      </c>
      <c r="B1431" t="s">
        <v>259</v>
      </c>
      <c r="C1431">
        <v>27163</v>
      </c>
      <c r="D1431" t="s">
        <v>278</v>
      </c>
      <c r="E1431" t="s">
        <v>261</v>
      </c>
      <c r="F1431" t="s">
        <v>268</v>
      </c>
      <c r="G1431" t="s">
        <v>269</v>
      </c>
      <c r="H1431">
        <v>163.184316562156</v>
      </c>
      <c r="I1431" t="s">
        <v>264</v>
      </c>
      <c r="J1431" t="s">
        <v>265</v>
      </c>
      <c r="K1431">
        <v>252655</v>
      </c>
      <c r="L1431" t="s">
        <v>282</v>
      </c>
      <c r="M1431">
        <v>0</v>
      </c>
    </row>
    <row r="1432" spans="1:13" x14ac:dyDescent="0.25">
      <c r="A1432">
        <v>2016</v>
      </c>
      <c r="B1432" t="s">
        <v>259</v>
      </c>
      <c r="C1432">
        <v>27163</v>
      </c>
      <c r="D1432" t="s">
        <v>278</v>
      </c>
      <c r="E1432" t="s">
        <v>261</v>
      </c>
      <c r="F1432" t="s">
        <v>270</v>
      </c>
      <c r="G1432" t="s">
        <v>263</v>
      </c>
      <c r="H1432">
        <v>39325.090856031697</v>
      </c>
      <c r="I1432" t="s">
        <v>264</v>
      </c>
      <c r="J1432" t="s">
        <v>265</v>
      </c>
      <c r="K1432">
        <v>252655</v>
      </c>
      <c r="L1432" t="s">
        <v>282</v>
      </c>
      <c r="M1432">
        <v>0.16</v>
      </c>
    </row>
    <row r="1433" spans="1:13" x14ac:dyDescent="0.25">
      <c r="A1433">
        <v>2016</v>
      </c>
      <c r="B1433" t="s">
        <v>259</v>
      </c>
      <c r="C1433">
        <v>27163</v>
      </c>
      <c r="D1433" t="s">
        <v>278</v>
      </c>
      <c r="E1433" t="s">
        <v>261</v>
      </c>
      <c r="F1433" t="s">
        <v>270</v>
      </c>
      <c r="G1433" t="s">
        <v>267</v>
      </c>
      <c r="H1433">
        <v>237084.20031969601</v>
      </c>
      <c r="I1433" t="s">
        <v>264</v>
      </c>
      <c r="J1433" t="s">
        <v>265</v>
      </c>
      <c r="K1433">
        <v>252655</v>
      </c>
      <c r="L1433" t="s">
        <v>282</v>
      </c>
      <c r="M1433">
        <v>0.94</v>
      </c>
    </row>
    <row r="1434" spans="1:13" x14ac:dyDescent="0.25">
      <c r="A1434">
        <v>2016</v>
      </c>
      <c r="B1434" t="s">
        <v>259</v>
      </c>
      <c r="C1434">
        <v>27163</v>
      </c>
      <c r="D1434" t="s">
        <v>278</v>
      </c>
      <c r="E1434" t="s">
        <v>261</v>
      </c>
      <c r="F1434" t="s">
        <v>270</v>
      </c>
      <c r="G1434" t="s">
        <v>269</v>
      </c>
      <c r="H1434">
        <v>130.06417704547599</v>
      </c>
      <c r="I1434" t="s">
        <v>264</v>
      </c>
      <c r="J1434" t="s">
        <v>265</v>
      </c>
      <c r="K1434">
        <v>252655</v>
      </c>
      <c r="L1434" t="s">
        <v>282</v>
      </c>
      <c r="M1434">
        <v>0</v>
      </c>
    </row>
    <row r="1435" spans="1:13" x14ac:dyDescent="0.25">
      <c r="A1435">
        <v>2016</v>
      </c>
      <c r="B1435" t="s">
        <v>259</v>
      </c>
      <c r="C1435">
        <v>55093</v>
      </c>
      <c r="D1435" t="s">
        <v>279</v>
      </c>
      <c r="E1435" t="s">
        <v>261</v>
      </c>
      <c r="F1435" t="s">
        <v>262</v>
      </c>
      <c r="G1435" t="s">
        <v>263</v>
      </c>
      <c r="H1435">
        <v>125520.493675609</v>
      </c>
      <c r="I1435" t="s">
        <v>264</v>
      </c>
      <c r="J1435" t="s">
        <v>265</v>
      </c>
      <c r="K1435">
        <v>41528</v>
      </c>
      <c r="L1435" t="s">
        <v>282</v>
      </c>
      <c r="M1435">
        <v>3.02</v>
      </c>
    </row>
    <row r="1436" spans="1:13" x14ac:dyDescent="0.25">
      <c r="A1436">
        <v>2016</v>
      </c>
      <c r="B1436" t="s">
        <v>259</v>
      </c>
      <c r="C1436">
        <v>55093</v>
      </c>
      <c r="D1436" t="s">
        <v>279</v>
      </c>
      <c r="E1436" t="s">
        <v>261</v>
      </c>
      <c r="F1436" t="s">
        <v>262</v>
      </c>
      <c r="G1436" t="s">
        <v>267</v>
      </c>
      <c r="H1436">
        <v>5563.5868395255402</v>
      </c>
      <c r="I1436" t="s">
        <v>264</v>
      </c>
      <c r="J1436" t="s">
        <v>265</v>
      </c>
      <c r="K1436">
        <v>41528</v>
      </c>
      <c r="L1436" t="s">
        <v>282</v>
      </c>
      <c r="M1436">
        <v>0.13</v>
      </c>
    </row>
    <row r="1437" spans="1:13" x14ac:dyDescent="0.25">
      <c r="A1437">
        <v>2016</v>
      </c>
      <c r="B1437" t="s">
        <v>259</v>
      </c>
      <c r="C1437">
        <v>55093</v>
      </c>
      <c r="D1437" t="s">
        <v>279</v>
      </c>
      <c r="E1437" t="s">
        <v>261</v>
      </c>
      <c r="F1437" t="s">
        <v>262</v>
      </c>
      <c r="G1437" t="s">
        <v>269</v>
      </c>
      <c r="H1437">
        <v>290.32429917565503</v>
      </c>
      <c r="I1437" t="s">
        <v>264</v>
      </c>
      <c r="J1437" t="s">
        <v>265</v>
      </c>
      <c r="K1437">
        <v>41528</v>
      </c>
      <c r="L1437" t="s">
        <v>282</v>
      </c>
      <c r="M1437">
        <v>0.01</v>
      </c>
    </row>
    <row r="1438" spans="1:13" x14ac:dyDescent="0.25">
      <c r="A1438">
        <v>2016</v>
      </c>
      <c r="B1438" t="s">
        <v>259</v>
      </c>
      <c r="C1438">
        <v>55093</v>
      </c>
      <c r="D1438" t="s">
        <v>279</v>
      </c>
      <c r="E1438" t="s">
        <v>261</v>
      </c>
      <c r="F1438" t="s">
        <v>268</v>
      </c>
      <c r="G1438" t="s">
        <v>263</v>
      </c>
      <c r="H1438">
        <v>176.364845878675</v>
      </c>
      <c r="I1438" t="s">
        <v>264</v>
      </c>
      <c r="J1438" t="s">
        <v>265</v>
      </c>
      <c r="K1438">
        <v>41528</v>
      </c>
      <c r="L1438" t="s">
        <v>282</v>
      </c>
      <c r="M1438">
        <v>0</v>
      </c>
    </row>
    <row r="1439" spans="1:13" x14ac:dyDescent="0.25">
      <c r="A1439">
        <v>2016</v>
      </c>
      <c r="B1439" t="s">
        <v>259</v>
      </c>
      <c r="C1439">
        <v>55093</v>
      </c>
      <c r="D1439" t="s">
        <v>279</v>
      </c>
      <c r="E1439" t="s">
        <v>261</v>
      </c>
      <c r="F1439" t="s">
        <v>268</v>
      </c>
      <c r="G1439" t="s">
        <v>267</v>
      </c>
      <c r="H1439">
        <v>2249.9278516611598</v>
      </c>
      <c r="I1439" t="s">
        <v>264</v>
      </c>
      <c r="J1439" t="s">
        <v>265</v>
      </c>
      <c r="K1439">
        <v>41528</v>
      </c>
      <c r="L1439" t="s">
        <v>282</v>
      </c>
      <c r="M1439">
        <v>0.05</v>
      </c>
    </row>
    <row r="1440" spans="1:13" x14ac:dyDescent="0.25">
      <c r="A1440">
        <v>2016</v>
      </c>
      <c r="B1440" t="s">
        <v>259</v>
      </c>
      <c r="C1440">
        <v>55093</v>
      </c>
      <c r="D1440" t="s">
        <v>279</v>
      </c>
      <c r="E1440" t="s">
        <v>261</v>
      </c>
      <c r="F1440" t="s">
        <v>268</v>
      </c>
      <c r="G1440" t="s">
        <v>269</v>
      </c>
      <c r="H1440">
        <v>64.150801601944707</v>
      </c>
      <c r="I1440" t="s">
        <v>264</v>
      </c>
      <c r="J1440" t="s">
        <v>265</v>
      </c>
      <c r="K1440">
        <v>41528</v>
      </c>
      <c r="L1440" t="s">
        <v>282</v>
      </c>
      <c r="M1440">
        <v>0</v>
      </c>
    </row>
    <row r="1441" spans="1:13" x14ac:dyDescent="0.25">
      <c r="A1441">
        <v>2016</v>
      </c>
      <c r="B1441" t="s">
        <v>259</v>
      </c>
      <c r="C1441">
        <v>55093</v>
      </c>
      <c r="D1441" t="s">
        <v>279</v>
      </c>
      <c r="E1441" t="s">
        <v>261</v>
      </c>
      <c r="F1441" t="s">
        <v>270</v>
      </c>
      <c r="G1441" t="s">
        <v>263</v>
      </c>
      <c r="H1441">
        <v>7012.1946994786804</v>
      </c>
      <c r="I1441" t="s">
        <v>264</v>
      </c>
      <c r="J1441" t="s">
        <v>265</v>
      </c>
      <c r="K1441">
        <v>41528</v>
      </c>
      <c r="L1441" t="s">
        <v>282</v>
      </c>
      <c r="M1441">
        <v>0.17</v>
      </c>
    </row>
    <row r="1442" spans="1:13" x14ac:dyDescent="0.25">
      <c r="A1442">
        <v>2016</v>
      </c>
      <c r="B1442" t="s">
        <v>259</v>
      </c>
      <c r="C1442">
        <v>55093</v>
      </c>
      <c r="D1442" t="s">
        <v>279</v>
      </c>
      <c r="E1442" t="s">
        <v>261</v>
      </c>
      <c r="F1442" t="s">
        <v>270</v>
      </c>
      <c r="G1442" t="s">
        <v>267</v>
      </c>
      <c r="H1442">
        <v>21815.2438252926</v>
      </c>
      <c r="I1442" t="s">
        <v>264</v>
      </c>
      <c r="J1442" t="s">
        <v>265</v>
      </c>
      <c r="K1442">
        <v>41528</v>
      </c>
      <c r="L1442" t="s">
        <v>282</v>
      </c>
      <c r="M1442">
        <v>0.53</v>
      </c>
    </row>
    <row r="1443" spans="1:13" x14ac:dyDescent="0.25">
      <c r="A1443">
        <v>2016</v>
      </c>
      <c r="B1443" t="s">
        <v>259</v>
      </c>
      <c r="C1443">
        <v>55093</v>
      </c>
      <c r="D1443" t="s">
        <v>279</v>
      </c>
      <c r="E1443" t="s">
        <v>261</v>
      </c>
      <c r="F1443" t="s">
        <v>270</v>
      </c>
      <c r="G1443" t="s">
        <v>269</v>
      </c>
      <c r="H1443">
        <v>24.064420177540502</v>
      </c>
      <c r="I1443" t="s">
        <v>264</v>
      </c>
      <c r="J1443" t="s">
        <v>265</v>
      </c>
      <c r="K1443">
        <v>41528</v>
      </c>
      <c r="L1443" t="s">
        <v>282</v>
      </c>
      <c r="M1443">
        <v>0</v>
      </c>
    </row>
    <row r="1444" spans="1:13" x14ac:dyDescent="0.25">
      <c r="A1444">
        <v>2016</v>
      </c>
      <c r="B1444" t="s">
        <v>259</v>
      </c>
      <c r="C1444">
        <v>55109</v>
      </c>
      <c r="D1444" t="s">
        <v>280</v>
      </c>
      <c r="E1444" t="s">
        <v>261</v>
      </c>
      <c r="F1444" t="s">
        <v>262</v>
      </c>
      <c r="G1444" t="s">
        <v>263</v>
      </c>
      <c r="H1444">
        <v>413310.27548764698</v>
      </c>
      <c r="I1444" t="s">
        <v>264</v>
      </c>
      <c r="J1444" t="s">
        <v>265</v>
      </c>
      <c r="K1444">
        <v>87643</v>
      </c>
      <c r="L1444" t="s">
        <v>282</v>
      </c>
      <c r="M1444">
        <v>4.72</v>
      </c>
    </row>
    <row r="1445" spans="1:13" x14ac:dyDescent="0.25">
      <c r="A1445">
        <v>2016</v>
      </c>
      <c r="B1445" t="s">
        <v>259</v>
      </c>
      <c r="C1445">
        <v>55109</v>
      </c>
      <c r="D1445" t="s">
        <v>280</v>
      </c>
      <c r="E1445" t="s">
        <v>261</v>
      </c>
      <c r="F1445" t="s">
        <v>262</v>
      </c>
      <c r="G1445" t="s">
        <v>267</v>
      </c>
      <c r="H1445">
        <v>17492.4844653078</v>
      </c>
      <c r="I1445" t="s">
        <v>264</v>
      </c>
      <c r="J1445" t="s">
        <v>265</v>
      </c>
      <c r="K1445">
        <v>87643</v>
      </c>
      <c r="L1445" t="s">
        <v>282</v>
      </c>
      <c r="M1445">
        <v>0.2</v>
      </c>
    </row>
    <row r="1446" spans="1:13" x14ac:dyDescent="0.25">
      <c r="A1446">
        <v>2016</v>
      </c>
      <c r="B1446" t="s">
        <v>259</v>
      </c>
      <c r="C1446">
        <v>55109</v>
      </c>
      <c r="D1446" t="s">
        <v>280</v>
      </c>
      <c r="E1446" t="s">
        <v>261</v>
      </c>
      <c r="F1446" t="s">
        <v>262</v>
      </c>
      <c r="G1446" t="s">
        <v>269</v>
      </c>
      <c r="H1446">
        <v>919.87351070175498</v>
      </c>
      <c r="I1446" t="s">
        <v>264</v>
      </c>
      <c r="J1446" t="s">
        <v>265</v>
      </c>
      <c r="K1446">
        <v>87643</v>
      </c>
      <c r="L1446" t="s">
        <v>282</v>
      </c>
      <c r="M1446">
        <v>0.01</v>
      </c>
    </row>
    <row r="1447" spans="1:13" x14ac:dyDescent="0.25">
      <c r="A1447">
        <v>2016</v>
      </c>
      <c r="B1447" t="s">
        <v>259</v>
      </c>
      <c r="C1447">
        <v>55109</v>
      </c>
      <c r="D1447" t="s">
        <v>280</v>
      </c>
      <c r="E1447" t="s">
        <v>261</v>
      </c>
      <c r="F1447" t="s">
        <v>268</v>
      </c>
      <c r="G1447" t="s">
        <v>263</v>
      </c>
      <c r="H1447">
        <v>472.25967052356401</v>
      </c>
      <c r="I1447" t="s">
        <v>264</v>
      </c>
      <c r="J1447" t="s">
        <v>265</v>
      </c>
      <c r="K1447">
        <v>87643</v>
      </c>
      <c r="L1447" t="s">
        <v>282</v>
      </c>
      <c r="M1447">
        <v>0.01</v>
      </c>
    </row>
    <row r="1448" spans="1:13" x14ac:dyDescent="0.25">
      <c r="A1448">
        <v>2016</v>
      </c>
      <c r="B1448" t="s">
        <v>259</v>
      </c>
      <c r="C1448">
        <v>55109</v>
      </c>
      <c r="D1448" t="s">
        <v>280</v>
      </c>
      <c r="E1448" t="s">
        <v>261</v>
      </c>
      <c r="F1448" t="s">
        <v>268</v>
      </c>
      <c r="G1448" t="s">
        <v>267</v>
      </c>
      <c r="H1448">
        <v>7004.9358438940599</v>
      </c>
      <c r="I1448" t="s">
        <v>264</v>
      </c>
      <c r="J1448" t="s">
        <v>265</v>
      </c>
      <c r="K1448">
        <v>87643</v>
      </c>
      <c r="L1448" t="s">
        <v>282</v>
      </c>
      <c r="M1448">
        <v>0.08</v>
      </c>
    </row>
    <row r="1449" spans="1:13" x14ac:dyDescent="0.25">
      <c r="A1449">
        <v>2016</v>
      </c>
      <c r="B1449" t="s">
        <v>259</v>
      </c>
      <c r="C1449">
        <v>55109</v>
      </c>
      <c r="D1449" t="s">
        <v>280</v>
      </c>
      <c r="E1449" t="s">
        <v>261</v>
      </c>
      <c r="F1449" t="s">
        <v>268</v>
      </c>
      <c r="G1449" t="s">
        <v>269</v>
      </c>
      <c r="H1449">
        <v>155.396048330561</v>
      </c>
      <c r="I1449" t="s">
        <v>264</v>
      </c>
      <c r="J1449" t="s">
        <v>265</v>
      </c>
      <c r="K1449">
        <v>87643</v>
      </c>
      <c r="L1449" t="s">
        <v>282</v>
      </c>
      <c r="M1449">
        <v>0</v>
      </c>
    </row>
    <row r="1450" spans="1:13" x14ac:dyDescent="0.25">
      <c r="A1450">
        <v>2016</v>
      </c>
      <c r="B1450" t="s">
        <v>259</v>
      </c>
      <c r="C1450">
        <v>55109</v>
      </c>
      <c r="D1450" t="s">
        <v>280</v>
      </c>
      <c r="E1450" t="s">
        <v>261</v>
      </c>
      <c r="F1450" t="s">
        <v>270</v>
      </c>
      <c r="G1450" t="s">
        <v>263</v>
      </c>
      <c r="H1450">
        <v>24536.821484448901</v>
      </c>
      <c r="I1450" t="s">
        <v>264</v>
      </c>
      <c r="J1450" t="s">
        <v>265</v>
      </c>
      <c r="K1450">
        <v>87643</v>
      </c>
      <c r="L1450" t="s">
        <v>282</v>
      </c>
      <c r="M1450">
        <v>0.28000000000000003</v>
      </c>
    </row>
    <row r="1451" spans="1:13" x14ac:dyDescent="0.25">
      <c r="A1451">
        <v>2016</v>
      </c>
      <c r="B1451" t="s">
        <v>259</v>
      </c>
      <c r="C1451">
        <v>55109</v>
      </c>
      <c r="D1451" t="s">
        <v>280</v>
      </c>
      <c r="E1451" t="s">
        <v>261</v>
      </c>
      <c r="F1451" t="s">
        <v>270</v>
      </c>
      <c r="G1451" t="s">
        <v>267</v>
      </c>
      <c r="H1451">
        <v>148035.314655227</v>
      </c>
      <c r="I1451" t="s">
        <v>264</v>
      </c>
      <c r="J1451" t="s">
        <v>265</v>
      </c>
      <c r="K1451">
        <v>87643</v>
      </c>
      <c r="L1451" t="s">
        <v>282</v>
      </c>
      <c r="M1451">
        <v>1.69</v>
      </c>
    </row>
    <row r="1452" spans="1:13" x14ac:dyDescent="0.25">
      <c r="A1452">
        <v>2016</v>
      </c>
      <c r="B1452" t="s">
        <v>259</v>
      </c>
      <c r="C1452">
        <v>55109</v>
      </c>
      <c r="D1452" t="s">
        <v>280</v>
      </c>
      <c r="E1452" t="s">
        <v>261</v>
      </c>
      <c r="F1452" t="s">
        <v>270</v>
      </c>
      <c r="G1452" t="s">
        <v>269</v>
      </c>
      <c r="H1452">
        <v>90.224064977259403</v>
      </c>
      <c r="I1452" t="s">
        <v>264</v>
      </c>
      <c r="J1452" t="s">
        <v>265</v>
      </c>
      <c r="K1452">
        <v>87643</v>
      </c>
      <c r="L1452" t="s">
        <v>282</v>
      </c>
      <c r="M1452">
        <v>0</v>
      </c>
    </row>
    <row r="1453" spans="1:13" x14ac:dyDescent="0.25">
      <c r="A1453">
        <v>2017</v>
      </c>
      <c r="B1453" t="s">
        <v>259</v>
      </c>
      <c r="C1453">
        <v>27003</v>
      </c>
      <c r="D1453" t="s">
        <v>260</v>
      </c>
      <c r="E1453" t="s">
        <v>261</v>
      </c>
      <c r="F1453" t="s">
        <v>262</v>
      </c>
      <c r="G1453" t="s">
        <v>263</v>
      </c>
      <c r="H1453">
        <v>1076243.45665574</v>
      </c>
      <c r="I1453" t="s">
        <v>264</v>
      </c>
      <c r="J1453" t="s">
        <v>265</v>
      </c>
      <c r="K1453">
        <v>350598</v>
      </c>
      <c r="L1453" t="s">
        <v>282</v>
      </c>
      <c r="M1453">
        <v>3.07</v>
      </c>
    </row>
    <row r="1454" spans="1:13" x14ac:dyDescent="0.25">
      <c r="A1454">
        <v>2017</v>
      </c>
      <c r="B1454" t="s">
        <v>259</v>
      </c>
      <c r="C1454">
        <v>27003</v>
      </c>
      <c r="D1454" t="s">
        <v>260</v>
      </c>
      <c r="E1454" t="s">
        <v>261</v>
      </c>
      <c r="F1454" t="s">
        <v>262</v>
      </c>
      <c r="G1454" t="s">
        <v>267</v>
      </c>
      <c r="H1454">
        <v>25023.460858281702</v>
      </c>
      <c r="I1454" t="s">
        <v>264</v>
      </c>
      <c r="J1454" t="s">
        <v>265</v>
      </c>
      <c r="K1454">
        <v>350598</v>
      </c>
      <c r="L1454" t="s">
        <v>282</v>
      </c>
      <c r="M1454">
        <v>7.0000000000000007E-2</v>
      </c>
    </row>
    <row r="1455" spans="1:13" x14ac:dyDescent="0.25">
      <c r="A1455">
        <v>2017</v>
      </c>
      <c r="B1455" t="s">
        <v>259</v>
      </c>
      <c r="C1455">
        <v>27003</v>
      </c>
      <c r="D1455" t="s">
        <v>260</v>
      </c>
      <c r="E1455" t="s">
        <v>261</v>
      </c>
      <c r="F1455" t="s">
        <v>262</v>
      </c>
      <c r="G1455" t="s">
        <v>269</v>
      </c>
      <c r="H1455">
        <v>1973.58245074146</v>
      </c>
      <c r="I1455" t="s">
        <v>264</v>
      </c>
      <c r="J1455" t="s">
        <v>265</v>
      </c>
      <c r="K1455">
        <v>350598</v>
      </c>
      <c r="L1455" t="s">
        <v>282</v>
      </c>
      <c r="M1455">
        <v>0.01</v>
      </c>
    </row>
    <row r="1456" spans="1:13" x14ac:dyDescent="0.25">
      <c r="A1456">
        <v>2017</v>
      </c>
      <c r="B1456" t="s">
        <v>259</v>
      </c>
      <c r="C1456">
        <v>27003</v>
      </c>
      <c r="D1456" t="s">
        <v>260</v>
      </c>
      <c r="E1456" t="s">
        <v>261</v>
      </c>
      <c r="F1456" t="s">
        <v>268</v>
      </c>
      <c r="G1456" t="s">
        <v>263</v>
      </c>
      <c r="H1456">
        <v>2330.5063773341399</v>
      </c>
      <c r="I1456" t="s">
        <v>264</v>
      </c>
      <c r="J1456" t="s">
        <v>265</v>
      </c>
      <c r="K1456">
        <v>350598</v>
      </c>
      <c r="L1456" t="s">
        <v>282</v>
      </c>
      <c r="M1456">
        <v>0.01</v>
      </c>
    </row>
    <row r="1457" spans="1:13" x14ac:dyDescent="0.25">
      <c r="A1457">
        <v>2017</v>
      </c>
      <c r="B1457" t="s">
        <v>259</v>
      </c>
      <c r="C1457">
        <v>27003</v>
      </c>
      <c r="D1457" t="s">
        <v>260</v>
      </c>
      <c r="E1457" t="s">
        <v>261</v>
      </c>
      <c r="F1457" t="s">
        <v>268</v>
      </c>
      <c r="G1457" t="s">
        <v>267</v>
      </c>
      <c r="H1457">
        <v>14053.551543658599</v>
      </c>
      <c r="I1457" t="s">
        <v>264</v>
      </c>
      <c r="J1457" t="s">
        <v>265</v>
      </c>
      <c r="K1457">
        <v>350598</v>
      </c>
      <c r="L1457" t="s">
        <v>282</v>
      </c>
      <c r="M1457">
        <v>0.04</v>
      </c>
    </row>
    <row r="1458" spans="1:13" x14ac:dyDescent="0.25">
      <c r="A1458">
        <v>2017</v>
      </c>
      <c r="B1458" t="s">
        <v>259</v>
      </c>
      <c r="C1458">
        <v>27003</v>
      </c>
      <c r="D1458" t="s">
        <v>260</v>
      </c>
      <c r="E1458" t="s">
        <v>261</v>
      </c>
      <c r="F1458" t="s">
        <v>268</v>
      </c>
      <c r="G1458" t="s">
        <v>269</v>
      </c>
      <c r="H1458">
        <v>4.7899915597093798</v>
      </c>
      <c r="I1458" t="s">
        <v>264</v>
      </c>
      <c r="J1458" t="s">
        <v>265</v>
      </c>
      <c r="K1458">
        <v>350598</v>
      </c>
      <c r="L1458" t="s">
        <v>282</v>
      </c>
      <c r="M1458">
        <v>0</v>
      </c>
    </row>
    <row r="1459" spans="1:13" x14ac:dyDescent="0.25">
      <c r="A1459">
        <v>2017</v>
      </c>
      <c r="B1459" t="s">
        <v>259</v>
      </c>
      <c r="C1459">
        <v>27003</v>
      </c>
      <c r="D1459" t="s">
        <v>260</v>
      </c>
      <c r="E1459" t="s">
        <v>261</v>
      </c>
      <c r="F1459" t="s">
        <v>270</v>
      </c>
      <c r="G1459" t="s">
        <v>263</v>
      </c>
      <c r="H1459">
        <v>79911.604997975694</v>
      </c>
      <c r="I1459" t="s">
        <v>264</v>
      </c>
      <c r="J1459" t="s">
        <v>265</v>
      </c>
      <c r="K1459">
        <v>350598</v>
      </c>
      <c r="L1459" t="s">
        <v>282</v>
      </c>
      <c r="M1459">
        <v>0.23</v>
      </c>
    </row>
    <row r="1460" spans="1:13" x14ac:dyDescent="0.25">
      <c r="A1460">
        <v>2017</v>
      </c>
      <c r="B1460" t="s">
        <v>259</v>
      </c>
      <c r="C1460">
        <v>27003</v>
      </c>
      <c r="D1460" t="s">
        <v>260</v>
      </c>
      <c r="E1460" t="s">
        <v>261</v>
      </c>
      <c r="F1460" t="s">
        <v>270</v>
      </c>
      <c r="G1460" t="s">
        <v>267</v>
      </c>
      <c r="H1460">
        <v>318134.34202376503</v>
      </c>
      <c r="I1460" t="s">
        <v>264</v>
      </c>
      <c r="J1460" t="s">
        <v>265</v>
      </c>
      <c r="K1460">
        <v>350598</v>
      </c>
      <c r="L1460" t="s">
        <v>282</v>
      </c>
      <c r="M1460">
        <v>0.91</v>
      </c>
    </row>
    <row r="1461" spans="1:13" x14ac:dyDescent="0.25">
      <c r="A1461">
        <v>2017</v>
      </c>
      <c r="B1461" t="s">
        <v>259</v>
      </c>
      <c r="C1461">
        <v>27003</v>
      </c>
      <c r="D1461" t="s">
        <v>260</v>
      </c>
      <c r="E1461" t="s">
        <v>261</v>
      </c>
      <c r="F1461" t="s">
        <v>270</v>
      </c>
      <c r="G1461" t="s">
        <v>269</v>
      </c>
      <c r="H1461">
        <v>146.95638137599701</v>
      </c>
      <c r="I1461" t="s">
        <v>264</v>
      </c>
      <c r="J1461" t="s">
        <v>265</v>
      </c>
      <c r="K1461">
        <v>350598</v>
      </c>
      <c r="L1461" t="s">
        <v>282</v>
      </c>
      <c r="M1461">
        <v>0</v>
      </c>
    </row>
    <row r="1462" spans="1:13" x14ac:dyDescent="0.25">
      <c r="A1462">
        <v>2017</v>
      </c>
      <c r="B1462" t="s">
        <v>259</v>
      </c>
      <c r="C1462">
        <v>27019</v>
      </c>
      <c r="D1462" t="s">
        <v>271</v>
      </c>
      <c r="E1462" t="s">
        <v>261</v>
      </c>
      <c r="F1462" t="s">
        <v>262</v>
      </c>
      <c r="G1462" t="s">
        <v>263</v>
      </c>
      <c r="H1462">
        <v>303387.03131948499</v>
      </c>
      <c r="I1462" t="s">
        <v>264</v>
      </c>
      <c r="J1462" t="s">
        <v>265</v>
      </c>
      <c r="K1462">
        <v>102120</v>
      </c>
      <c r="L1462" t="s">
        <v>282</v>
      </c>
      <c r="M1462">
        <v>2.97</v>
      </c>
    </row>
    <row r="1463" spans="1:13" x14ac:dyDescent="0.25">
      <c r="A1463">
        <v>2017</v>
      </c>
      <c r="B1463" t="s">
        <v>259</v>
      </c>
      <c r="C1463">
        <v>27019</v>
      </c>
      <c r="D1463" t="s">
        <v>271</v>
      </c>
      <c r="E1463" t="s">
        <v>261</v>
      </c>
      <c r="F1463" t="s">
        <v>262</v>
      </c>
      <c r="G1463" t="s">
        <v>267</v>
      </c>
      <c r="H1463">
        <v>8172.7118994037401</v>
      </c>
      <c r="I1463" t="s">
        <v>264</v>
      </c>
      <c r="J1463" t="s">
        <v>265</v>
      </c>
      <c r="K1463">
        <v>102120</v>
      </c>
      <c r="L1463" t="s">
        <v>282</v>
      </c>
      <c r="M1463">
        <v>0.08</v>
      </c>
    </row>
    <row r="1464" spans="1:13" x14ac:dyDescent="0.25">
      <c r="A1464">
        <v>2017</v>
      </c>
      <c r="B1464" t="s">
        <v>259</v>
      </c>
      <c r="C1464">
        <v>27019</v>
      </c>
      <c r="D1464" t="s">
        <v>271</v>
      </c>
      <c r="E1464" t="s">
        <v>261</v>
      </c>
      <c r="F1464" t="s">
        <v>262</v>
      </c>
      <c r="G1464" t="s">
        <v>269</v>
      </c>
      <c r="H1464">
        <v>589.78349081840702</v>
      </c>
      <c r="I1464" t="s">
        <v>264</v>
      </c>
      <c r="J1464" t="s">
        <v>265</v>
      </c>
      <c r="K1464">
        <v>102120</v>
      </c>
      <c r="L1464" t="s">
        <v>282</v>
      </c>
      <c r="M1464">
        <v>0.01</v>
      </c>
    </row>
    <row r="1465" spans="1:13" x14ac:dyDescent="0.25">
      <c r="A1465">
        <v>2017</v>
      </c>
      <c r="B1465" t="s">
        <v>259</v>
      </c>
      <c r="C1465">
        <v>27019</v>
      </c>
      <c r="D1465" t="s">
        <v>271</v>
      </c>
      <c r="E1465" t="s">
        <v>261</v>
      </c>
      <c r="F1465" t="s">
        <v>268</v>
      </c>
      <c r="G1465" t="s">
        <v>263</v>
      </c>
      <c r="H1465">
        <v>703.26271510238996</v>
      </c>
      <c r="I1465" t="s">
        <v>264</v>
      </c>
      <c r="J1465" t="s">
        <v>265</v>
      </c>
      <c r="K1465">
        <v>102120</v>
      </c>
      <c r="L1465" t="s">
        <v>282</v>
      </c>
      <c r="M1465">
        <v>0.01</v>
      </c>
    </row>
    <row r="1466" spans="1:13" x14ac:dyDescent="0.25">
      <c r="A1466">
        <v>2017</v>
      </c>
      <c r="B1466" t="s">
        <v>259</v>
      </c>
      <c r="C1466">
        <v>27019</v>
      </c>
      <c r="D1466" t="s">
        <v>271</v>
      </c>
      <c r="E1466" t="s">
        <v>261</v>
      </c>
      <c r="F1466" t="s">
        <v>268</v>
      </c>
      <c r="G1466" t="s">
        <v>267</v>
      </c>
      <c r="H1466">
        <v>3860.44854889004</v>
      </c>
      <c r="I1466" t="s">
        <v>264</v>
      </c>
      <c r="J1466" t="s">
        <v>265</v>
      </c>
      <c r="K1466">
        <v>102120</v>
      </c>
      <c r="L1466" t="s">
        <v>282</v>
      </c>
      <c r="M1466">
        <v>0.04</v>
      </c>
    </row>
    <row r="1467" spans="1:13" x14ac:dyDescent="0.25">
      <c r="A1467">
        <v>2017</v>
      </c>
      <c r="B1467" t="s">
        <v>259</v>
      </c>
      <c r="C1467">
        <v>27019</v>
      </c>
      <c r="D1467" t="s">
        <v>271</v>
      </c>
      <c r="E1467" t="s">
        <v>261</v>
      </c>
      <c r="F1467" t="s">
        <v>268</v>
      </c>
      <c r="G1467" t="s">
        <v>269</v>
      </c>
      <c r="H1467">
        <v>127.59705601784199</v>
      </c>
      <c r="I1467" t="s">
        <v>264</v>
      </c>
      <c r="J1467" t="s">
        <v>265</v>
      </c>
      <c r="K1467">
        <v>102120</v>
      </c>
      <c r="L1467" t="s">
        <v>282</v>
      </c>
      <c r="M1467">
        <v>0</v>
      </c>
    </row>
    <row r="1468" spans="1:13" x14ac:dyDescent="0.25">
      <c r="A1468">
        <v>2017</v>
      </c>
      <c r="B1468" t="s">
        <v>259</v>
      </c>
      <c r="C1468">
        <v>27019</v>
      </c>
      <c r="D1468" t="s">
        <v>271</v>
      </c>
      <c r="E1468" t="s">
        <v>261</v>
      </c>
      <c r="F1468" t="s">
        <v>270</v>
      </c>
      <c r="G1468" t="s">
        <v>263</v>
      </c>
      <c r="H1468">
        <v>17014.2996213525</v>
      </c>
      <c r="I1468" t="s">
        <v>264</v>
      </c>
      <c r="J1468" t="s">
        <v>265</v>
      </c>
      <c r="K1468">
        <v>102120</v>
      </c>
      <c r="L1468" t="s">
        <v>282</v>
      </c>
      <c r="M1468">
        <v>0.17</v>
      </c>
    </row>
    <row r="1469" spans="1:13" x14ac:dyDescent="0.25">
      <c r="A1469">
        <v>2017</v>
      </c>
      <c r="B1469" t="s">
        <v>259</v>
      </c>
      <c r="C1469">
        <v>27019</v>
      </c>
      <c r="D1469" t="s">
        <v>271</v>
      </c>
      <c r="E1469" t="s">
        <v>261</v>
      </c>
      <c r="F1469" t="s">
        <v>270</v>
      </c>
      <c r="G1469" t="s">
        <v>267</v>
      </c>
      <c r="H1469">
        <v>88902.109517271296</v>
      </c>
      <c r="I1469" t="s">
        <v>264</v>
      </c>
      <c r="J1469" t="s">
        <v>265</v>
      </c>
      <c r="K1469">
        <v>102120</v>
      </c>
      <c r="L1469" t="s">
        <v>282</v>
      </c>
      <c r="M1469">
        <v>0.87</v>
      </c>
    </row>
    <row r="1470" spans="1:13" x14ac:dyDescent="0.25">
      <c r="A1470">
        <v>2017</v>
      </c>
      <c r="B1470" t="s">
        <v>259</v>
      </c>
      <c r="C1470">
        <v>27019</v>
      </c>
      <c r="D1470" t="s">
        <v>271</v>
      </c>
      <c r="E1470" t="s">
        <v>261</v>
      </c>
      <c r="F1470" t="s">
        <v>270</v>
      </c>
      <c r="G1470" t="s">
        <v>269</v>
      </c>
      <c r="H1470">
        <v>126.542399429673</v>
      </c>
      <c r="I1470" t="s">
        <v>264</v>
      </c>
      <c r="J1470" t="s">
        <v>265</v>
      </c>
      <c r="K1470">
        <v>102120</v>
      </c>
      <c r="L1470" t="s">
        <v>282</v>
      </c>
      <c r="M1470">
        <v>0</v>
      </c>
    </row>
    <row r="1471" spans="1:13" x14ac:dyDescent="0.25">
      <c r="A1471">
        <v>2017</v>
      </c>
      <c r="B1471" t="s">
        <v>259</v>
      </c>
      <c r="C1471">
        <v>27025</v>
      </c>
      <c r="D1471" t="s">
        <v>272</v>
      </c>
      <c r="E1471" t="s">
        <v>261</v>
      </c>
      <c r="F1471" t="s">
        <v>262</v>
      </c>
      <c r="G1471" t="s">
        <v>263</v>
      </c>
      <c r="H1471">
        <v>281018.72306092997</v>
      </c>
      <c r="I1471" t="s">
        <v>264</v>
      </c>
      <c r="J1471" t="s">
        <v>265</v>
      </c>
      <c r="K1471">
        <v>55261</v>
      </c>
      <c r="L1471" t="s">
        <v>282</v>
      </c>
      <c r="M1471">
        <v>5.09</v>
      </c>
    </row>
    <row r="1472" spans="1:13" x14ac:dyDescent="0.25">
      <c r="A1472">
        <v>2017</v>
      </c>
      <c r="B1472" t="s">
        <v>259</v>
      </c>
      <c r="C1472">
        <v>27025</v>
      </c>
      <c r="D1472" t="s">
        <v>272</v>
      </c>
      <c r="E1472" t="s">
        <v>261</v>
      </c>
      <c r="F1472" t="s">
        <v>262</v>
      </c>
      <c r="G1472" t="s">
        <v>267</v>
      </c>
      <c r="H1472">
        <v>13940.051947837999</v>
      </c>
      <c r="I1472" t="s">
        <v>264</v>
      </c>
      <c r="J1472" t="s">
        <v>265</v>
      </c>
      <c r="K1472">
        <v>55261</v>
      </c>
      <c r="L1472" t="s">
        <v>282</v>
      </c>
      <c r="M1472">
        <v>0.25</v>
      </c>
    </row>
    <row r="1473" spans="1:13" x14ac:dyDescent="0.25">
      <c r="A1473">
        <v>2017</v>
      </c>
      <c r="B1473" t="s">
        <v>259</v>
      </c>
      <c r="C1473">
        <v>27025</v>
      </c>
      <c r="D1473" t="s">
        <v>272</v>
      </c>
      <c r="E1473" t="s">
        <v>261</v>
      </c>
      <c r="F1473" t="s">
        <v>262</v>
      </c>
      <c r="G1473" t="s">
        <v>269</v>
      </c>
      <c r="H1473">
        <v>632.10878107168901</v>
      </c>
      <c r="I1473" t="s">
        <v>264</v>
      </c>
      <c r="J1473" t="s">
        <v>265</v>
      </c>
      <c r="K1473">
        <v>55261</v>
      </c>
      <c r="L1473" t="s">
        <v>282</v>
      </c>
      <c r="M1473">
        <v>0.01</v>
      </c>
    </row>
    <row r="1474" spans="1:13" x14ac:dyDescent="0.25">
      <c r="A1474">
        <v>2017</v>
      </c>
      <c r="B1474" t="s">
        <v>259</v>
      </c>
      <c r="C1474">
        <v>27025</v>
      </c>
      <c r="D1474" t="s">
        <v>272</v>
      </c>
      <c r="E1474" t="s">
        <v>261</v>
      </c>
      <c r="F1474" t="s">
        <v>268</v>
      </c>
      <c r="G1474" t="s">
        <v>263</v>
      </c>
      <c r="H1474">
        <v>468.75891436954902</v>
      </c>
      <c r="I1474" t="s">
        <v>264</v>
      </c>
      <c r="J1474" t="s">
        <v>265</v>
      </c>
      <c r="K1474">
        <v>55261</v>
      </c>
      <c r="L1474" t="s">
        <v>282</v>
      </c>
      <c r="M1474">
        <v>0.01</v>
      </c>
    </row>
    <row r="1475" spans="1:13" x14ac:dyDescent="0.25">
      <c r="A1475">
        <v>2017</v>
      </c>
      <c r="B1475" t="s">
        <v>259</v>
      </c>
      <c r="C1475">
        <v>27025</v>
      </c>
      <c r="D1475" t="s">
        <v>272</v>
      </c>
      <c r="E1475" t="s">
        <v>261</v>
      </c>
      <c r="F1475" t="s">
        <v>268</v>
      </c>
      <c r="G1475" t="s">
        <v>267</v>
      </c>
      <c r="H1475">
        <v>3681.8258050884901</v>
      </c>
      <c r="I1475" t="s">
        <v>264</v>
      </c>
      <c r="J1475" t="s">
        <v>265</v>
      </c>
      <c r="K1475">
        <v>55261</v>
      </c>
      <c r="L1475" t="s">
        <v>282</v>
      </c>
      <c r="M1475">
        <v>7.0000000000000007E-2</v>
      </c>
    </row>
    <row r="1476" spans="1:13" x14ac:dyDescent="0.25">
      <c r="A1476">
        <v>2017</v>
      </c>
      <c r="B1476" t="s">
        <v>259</v>
      </c>
      <c r="C1476">
        <v>27025</v>
      </c>
      <c r="D1476" t="s">
        <v>272</v>
      </c>
      <c r="E1476" t="s">
        <v>261</v>
      </c>
      <c r="F1476" t="s">
        <v>268</v>
      </c>
      <c r="G1476" t="s">
        <v>269</v>
      </c>
      <c r="H1476">
        <v>94.564281324797406</v>
      </c>
      <c r="I1476" t="s">
        <v>264</v>
      </c>
      <c r="J1476" t="s">
        <v>265</v>
      </c>
      <c r="K1476">
        <v>55261</v>
      </c>
      <c r="L1476" t="s">
        <v>282</v>
      </c>
      <c r="M1476">
        <v>0</v>
      </c>
    </row>
    <row r="1477" spans="1:13" x14ac:dyDescent="0.25">
      <c r="A1477">
        <v>2017</v>
      </c>
      <c r="B1477" t="s">
        <v>259</v>
      </c>
      <c r="C1477">
        <v>27025</v>
      </c>
      <c r="D1477" t="s">
        <v>272</v>
      </c>
      <c r="E1477" t="s">
        <v>261</v>
      </c>
      <c r="F1477" t="s">
        <v>270</v>
      </c>
      <c r="G1477" t="s">
        <v>263</v>
      </c>
      <c r="H1477">
        <v>12632.737282115901</v>
      </c>
      <c r="I1477" t="s">
        <v>264</v>
      </c>
      <c r="J1477" t="s">
        <v>265</v>
      </c>
      <c r="K1477">
        <v>55261</v>
      </c>
      <c r="L1477" t="s">
        <v>282</v>
      </c>
      <c r="M1477">
        <v>0.23</v>
      </c>
    </row>
    <row r="1478" spans="1:13" x14ac:dyDescent="0.25">
      <c r="A1478">
        <v>2017</v>
      </c>
      <c r="B1478" t="s">
        <v>259</v>
      </c>
      <c r="C1478">
        <v>27025</v>
      </c>
      <c r="D1478" t="s">
        <v>272</v>
      </c>
      <c r="E1478" t="s">
        <v>261</v>
      </c>
      <c r="F1478" t="s">
        <v>270</v>
      </c>
      <c r="G1478" t="s">
        <v>267</v>
      </c>
      <c r="H1478">
        <v>81313.261363652404</v>
      </c>
      <c r="I1478" t="s">
        <v>264</v>
      </c>
      <c r="J1478" t="s">
        <v>265</v>
      </c>
      <c r="K1478">
        <v>55261</v>
      </c>
      <c r="L1478" t="s">
        <v>282</v>
      </c>
      <c r="M1478">
        <v>1.47</v>
      </c>
    </row>
    <row r="1479" spans="1:13" x14ac:dyDescent="0.25">
      <c r="A1479">
        <v>2017</v>
      </c>
      <c r="B1479" t="s">
        <v>259</v>
      </c>
      <c r="C1479">
        <v>27025</v>
      </c>
      <c r="D1479" t="s">
        <v>272</v>
      </c>
      <c r="E1479" t="s">
        <v>261</v>
      </c>
      <c r="F1479" t="s">
        <v>270</v>
      </c>
      <c r="G1479" t="s">
        <v>269</v>
      </c>
      <c r="H1479">
        <v>43.422507046898403</v>
      </c>
      <c r="I1479" t="s">
        <v>264</v>
      </c>
      <c r="J1479" t="s">
        <v>265</v>
      </c>
      <c r="K1479">
        <v>55261</v>
      </c>
      <c r="L1479" t="s">
        <v>282</v>
      </c>
      <c r="M1479">
        <v>0</v>
      </c>
    </row>
    <row r="1480" spans="1:13" x14ac:dyDescent="0.25">
      <c r="A1480">
        <v>2017</v>
      </c>
      <c r="B1480" t="s">
        <v>259</v>
      </c>
      <c r="C1480">
        <v>27037</v>
      </c>
      <c r="D1480" t="s">
        <v>273</v>
      </c>
      <c r="E1480" t="s">
        <v>261</v>
      </c>
      <c r="F1480" t="s">
        <v>262</v>
      </c>
      <c r="G1480" t="s">
        <v>263</v>
      </c>
      <c r="H1480">
        <v>1371133.3818332099</v>
      </c>
      <c r="I1480" t="s">
        <v>264</v>
      </c>
      <c r="J1480" t="s">
        <v>265</v>
      </c>
      <c r="K1480">
        <v>421840</v>
      </c>
      <c r="L1480" t="s">
        <v>282</v>
      </c>
      <c r="M1480">
        <v>3.25</v>
      </c>
    </row>
    <row r="1481" spans="1:13" x14ac:dyDescent="0.25">
      <c r="A1481">
        <v>2017</v>
      </c>
      <c r="B1481" t="s">
        <v>259</v>
      </c>
      <c r="C1481">
        <v>27037</v>
      </c>
      <c r="D1481" t="s">
        <v>273</v>
      </c>
      <c r="E1481" t="s">
        <v>261</v>
      </c>
      <c r="F1481" t="s">
        <v>262</v>
      </c>
      <c r="G1481" t="s">
        <v>267</v>
      </c>
      <c r="H1481">
        <v>21635.4686448465</v>
      </c>
      <c r="I1481" t="s">
        <v>264</v>
      </c>
      <c r="J1481" t="s">
        <v>265</v>
      </c>
      <c r="K1481">
        <v>421840</v>
      </c>
      <c r="L1481" t="s">
        <v>282</v>
      </c>
      <c r="M1481">
        <v>0.05</v>
      </c>
    </row>
    <row r="1482" spans="1:13" x14ac:dyDescent="0.25">
      <c r="A1482">
        <v>2017</v>
      </c>
      <c r="B1482" t="s">
        <v>259</v>
      </c>
      <c r="C1482">
        <v>27037</v>
      </c>
      <c r="D1482" t="s">
        <v>273</v>
      </c>
      <c r="E1482" t="s">
        <v>261</v>
      </c>
      <c r="F1482" t="s">
        <v>262</v>
      </c>
      <c r="G1482" t="s">
        <v>269</v>
      </c>
      <c r="H1482">
        <v>2318.8141971690202</v>
      </c>
      <c r="I1482" t="s">
        <v>264</v>
      </c>
      <c r="J1482" t="s">
        <v>265</v>
      </c>
      <c r="K1482">
        <v>421840</v>
      </c>
      <c r="L1482" t="s">
        <v>282</v>
      </c>
      <c r="M1482">
        <v>0.01</v>
      </c>
    </row>
    <row r="1483" spans="1:13" x14ac:dyDescent="0.25">
      <c r="A1483">
        <v>2017</v>
      </c>
      <c r="B1483" t="s">
        <v>259</v>
      </c>
      <c r="C1483">
        <v>27037</v>
      </c>
      <c r="D1483" t="s">
        <v>273</v>
      </c>
      <c r="E1483" t="s">
        <v>261</v>
      </c>
      <c r="F1483" t="s">
        <v>268</v>
      </c>
      <c r="G1483" t="s">
        <v>263</v>
      </c>
      <c r="H1483">
        <v>2463.1470387179302</v>
      </c>
      <c r="I1483" t="s">
        <v>264</v>
      </c>
      <c r="J1483" t="s">
        <v>265</v>
      </c>
      <c r="K1483">
        <v>421840</v>
      </c>
      <c r="L1483" t="s">
        <v>282</v>
      </c>
      <c r="M1483">
        <v>0.01</v>
      </c>
    </row>
    <row r="1484" spans="1:13" x14ac:dyDescent="0.25">
      <c r="A1484">
        <v>2017</v>
      </c>
      <c r="B1484" t="s">
        <v>259</v>
      </c>
      <c r="C1484">
        <v>27037</v>
      </c>
      <c r="D1484" t="s">
        <v>273</v>
      </c>
      <c r="E1484" t="s">
        <v>261</v>
      </c>
      <c r="F1484" t="s">
        <v>268</v>
      </c>
      <c r="G1484" t="s">
        <v>267</v>
      </c>
      <c r="H1484">
        <v>18821.4281381605</v>
      </c>
      <c r="I1484" t="s">
        <v>264</v>
      </c>
      <c r="J1484" t="s">
        <v>265</v>
      </c>
      <c r="K1484">
        <v>421840</v>
      </c>
      <c r="L1484" t="s">
        <v>282</v>
      </c>
      <c r="M1484">
        <v>0.04</v>
      </c>
    </row>
    <row r="1485" spans="1:13" x14ac:dyDescent="0.25">
      <c r="A1485">
        <v>2017</v>
      </c>
      <c r="B1485" t="s">
        <v>259</v>
      </c>
      <c r="C1485">
        <v>27037</v>
      </c>
      <c r="D1485" t="s">
        <v>273</v>
      </c>
      <c r="E1485" t="s">
        <v>261</v>
      </c>
      <c r="F1485" t="s">
        <v>268</v>
      </c>
      <c r="G1485" t="s">
        <v>269</v>
      </c>
      <c r="H1485">
        <v>29.837191212552199</v>
      </c>
      <c r="I1485" t="s">
        <v>264</v>
      </c>
      <c r="J1485" t="s">
        <v>265</v>
      </c>
      <c r="K1485">
        <v>421840</v>
      </c>
      <c r="L1485" t="s">
        <v>282</v>
      </c>
      <c r="M1485">
        <v>0</v>
      </c>
    </row>
    <row r="1486" spans="1:13" x14ac:dyDescent="0.25">
      <c r="A1486">
        <v>2017</v>
      </c>
      <c r="B1486" t="s">
        <v>259</v>
      </c>
      <c r="C1486">
        <v>27037</v>
      </c>
      <c r="D1486" t="s">
        <v>273</v>
      </c>
      <c r="E1486" t="s">
        <v>261</v>
      </c>
      <c r="F1486" t="s">
        <v>270</v>
      </c>
      <c r="G1486" t="s">
        <v>263</v>
      </c>
      <c r="H1486">
        <v>82596.076577735497</v>
      </c>
      <c r="I1486" t="s">
        <v>264</v>
      </c>
      <c r="J1486" t="s">
        <v>265</v>
      </c>
      <c r="K1486">
        <v>421840</v>
      </c>
      <c r="L1486" t="s">
        <v>282</v>
      </c>
      <c r="M1486">
        <v>0.2</v>
      </c>
    </row>
    <row r="1487" spans="1:13" x14ac:dyDescent="0.25">
      <c r="A1487">
        <v>2017</v>
      </c>
      <c r="B1487" t="s">
        <v>259</v>
      </c>
      <c r="C1487">
        <v>27037</v>
      </c>
      <c r="D1487" t="s">
        <v>273</v>
      </c>
      <c r="E1487" t="s">
        <v>261</v>
      </c>
      <c r="F1487" t="s">
        <v>270</v>
      </c>
      <c r="G1487" t="s">
        <v>267</v>
      </c>
      <c r="H1487">
        <v>414340.00229705201</v>
      </c>
      <c r="I1487" t="s">
        <v>264</v>
      </c>
      <c r="J1487" t="s">
        <v>265</v>
      </c>
      <c r="K1487">
        <v>421840</v>
      </c>
      <c r="L1487" t="s">
        <v>282</v>
      </c>
      <c r="M1487">
        <v>0.98</v>
      </c>
    </row>
    <row r="1488" spans="1:13" x14ac:dyDescent="0.25">
      <c r="A1488">
        <v>2017</v>
      </c>
      <c r="B1488" t="s">
        <v>259</v>
      </c>
      <c r="C1488">
        <v>27037</v>
      </c>
      <c r="D1488" t="s">
        <v>273</v>
      </c>
      <c r="E1488" t="s">
        <v>261</v>
      </c>
      <c r="F1488" t="s">
        <v>270</v>
      </c>
      <c r="G1488" t="s">
        <v>269</v>
      </c>
      <c r="H1488">
        <v>229.53698063303801</v>
      </c>
      <c r="I1488" t="s">
        <v>264</v>
      </c>
      <c r="J1488" t="s">
        <v>265</v>
      </c>
      <c r="K1488">
        <v>421840</v>
      </c>
      <c r="L1488" t="s">
        <v>282</v>
      </c>
      <c r="M1488">
        <v>0</v>
      </c>
    </row>
    <row r="1489" spans="1:13" x14ac:dyDescent="0.25">
      <c r="A1489">
        <v>2017</v>
      </c>
      <c r="B1489" t="s">
        <v>259</v>
      </c>
      <c r="C1489">
        <v>27053</v>
      </c>
      <c r="D1489" t="s">
        <v>274</v>
      </c>
      <c r="E1489" t="s">
        <v>261</v>
      </c>
      <c r="F1489" t="s">
        <v>262</v>
      </c>
      <c r="G1489" t="s">
        <v>263</v>
      </c>
      <c r="H1489">
        <v>3716055.4071086501</v>
      </c>
      <c r="I1489" t="s">
        <v>264</v>
      </c>
      <c r="J1489" t="s">
        <v>265</v>
      </c>
      <c r="K1489">
        <v>1248707</v>
      </c>
      <c r="L1489" t="s">
        <v>282</v>
      </c>
      <c r="M1489">
        <v>2.98</v>
      </c>
    </row>
    <row r="1490" spans="1:13" x14ac:dyDescent="0.25">
      <c r="A1490">
        <v>2017</v>
      </c>
      <c r="B1490" t="s">
        <v>259</v>
      </c>
      <c r="C1490">
        <v>27053</v>
      </c>
      <c r="D1490" t="s">
        <v>274</v>
      </c>
      <c r="E1490" t="s">
        <v>261</v>
      </c>
      <c r="F1490" t="s">
        <v>262</v>
      </c>
      <c r="G1490" t="s">
        <v>267</v>
      </c>
      <c r="H1490">
        <v>42319.5382567899</v>
      </c>
      <c r="I1490" t="s">
        <v>264</v>
      </c>
      <c r="J1490" t="s">
        <v>265</v>
      </c>
      <c r="K1490">
        <v>1248707</v>
      </c>
      <c r="L1490" t="s">
        <v>282</v>
      </c>
      <c r="M1490">
        <v>0.03</v>
      </c>
    </row>
    <row r="1491" spans="1:13" x14ac:dyDescent="0.25">
      <c r="A1491">
        <v>2017</v>
      </c>
      <c r="B1491" t="s">
        <v>259</v>
      </c>
      <c r="C1491">
        <v>27053</v>
      </c>
      <c r="D1491" t="s">
        <v>274</v>
      </c>
      <c r="E1491" t="s">
        <v>261</v>
      </c>
      <c r="F1491" t="s">
        <v>262</v>
      </c>
      <c r="G1491" t="s">
        <v>269</v>
      </c>
      <c r="H1491">
        <v>5160.0685350291396</v>
      </c>
      <c r="I1491" t="s">
        <v>264</v>
      </c>
      <c r="J1491" t="s">
        <v>265</v>
      </c>
      <c r="K1491">
        <v>1248707</v>
      </c>
      <c r="L1491" t="s">
        <v>282</v>
      </c>
      <c r="M1491">
        <v>0</v>
      </c>
    </row>
    <row r="1492" spans="1:13" x14ac:dyDescent="0.25">
      <c r="A1492">
        <v>2017</v>
      </c>
      <c r="B1492" t="s">
        <v>259</v>
      </c>
      <c r="C1492">
        <v>27053</v>
      </c>
      <c r="D1492" t="s">
        <v>274</v>
      </c>
      <c r="E1492" t="s">
        <v>261</v>
      </c>
      <c r="F1492" t="s">
        <v>268</v>
      </c>
      <c r="G1492" t="s">
        <v>263</v>
      </c>
      <c r="H1492">
        <v>8609.6594051869706</v>
      </c>
      <c r="I1492" t="s">
        <v>264</v>
      </c>
      <c r="J1492" t="s">
        <v>265</v>
      </c>
      <c r="K1492">
        <v>1248707</v>
      </c>
      <c r="L1492" t="s">
        <v>282</v>
      </c>
      <c r="M1492">
        <v>0.01</v>
      </c>
    </row>
    <row r="1493" spans="1:13" x14ac:dyDescent="0.25">
      <c r="A1493">
        <v>2017</v>
      </c>
      <c r="B1493" t="s">
        <v>259</v>
      </c>
      <c r="C1493">
        <v>27053</v>
      </c>
      <c r="D1493" t="s">
        <v>274</v>
      </c>
      <c r="E1493" t="s">
        <v>261</v>
      </c>
      <c r="F1493" t="s">
        <v>268</v>
      </c>
      <c r="G1493" t="s">
        <v>267</v>
      </c>
      <c r="H1493">
        <v>52717.1300062628</v>
      </c>
      <c r="I1493" t="s">
        <v>264</v>
      </c>
      <c r="J1493" t="s">
        <v>265</v>
      </c>
      <c r="K1493">
        <v>1248707</v>
      </c>
      <c r="L1493" t="s">
        <v>282</v>
      </c>
      <c r="M1493">
        <v>0.04</v>
      </c>
    </row>
    <row r="1494" spans="1:13" x14ac:dyDescent="0.25">
      <c r="A1494">
        <v>2017</v>
      </c>
      <c r="B1494" t="s">
        <v>259</v>
      </c>
      <c r="C1494">
        <v>27053</v>
      </c>
      <c r="D1494" t="s">
        <v>274</v>
      </c>
      <c r="E1494" t="s">
        <v>261</v>
      </c>
      <c r="F1494" t="s">
        <v>268</v>
      </c>
      <c r="G1494" t="s">
        <v>269</v>
      </c>
      <c r="H1494">
        <v>9.0934970859214703E-2</v>
      </c>
      <c r="I1494" t="s">
        <v>264</v>
      </c>
      <c r="J1494" t="s">
        <v>265</v>
      </c>
      <c r="K1494">
        <v>1248707</v>
      </c>
      <c r="L1494" t="s">
        <v>282</v>
      </c>
      <c r="M1494">
        <v>0</v>
      </c>
    </row>
    <row r="1495" spans="1:13" x14ac:dyDescent="0.25">
      <c r="A1495">
        <v>2017</v>
      </c>
      <c r="B1495" t="s">
        <v>259</v>
      </c>
      <c r="C1495">
        <v>27053</v>
      </c>
      <c r="D1495" t="s">
        <v>274</v>
      </c>
      <c r="E1495" t="s">
        <v>261</v>
      </c>
      <c r="F1495" t="s">
        <v>270</v>
      </c>
      <c r="G1495" t="s">
        <v>263</v>
      </c>
      <c r="H1495">
        <v>345595.051430983</v>
      </c>
      <c r="I1495" t="s">
        <v>264</v>
      </c>
      <c r="J1495" t="s">
        <v>265</v>
      </c>
      <c r="K1495">
        <v>1248707</v>
      </c>
      <c r="L1495" t="s">
        <v>282</v>
      </c>
      <c r="M1495">
        <v>0.28000000000000003</v>
      </c>
    </row>
    <row r="1496" spans="1:13" x14ac:dyDescent="0.25">
      <c r="A1496">
        <v>2017</v>
      </c>
      <c r="B1496" t="s">
        <v>259</v>
      </c>
      <c r="C1496">
        <v>27053</v>
      </c>
      <c r="D1496" t="s">
        <v>274</v>
      </c>
      <c r="E1496" t="s">
        <v>261</v>
      </c>
      <c r="F1496" t="s">
        <v>270</v>
      </c>
      <c r="G1496" t="s">
        <v>267</v>
      </c>
      <c r="H1496">
        <v>1104740.8133243001</v>
      </c>
      <c r="I1496" t="s">
        <v>264</v>
      </c>
      <c r="J1496" t="s">
        <v>265</v>
      </c>
      <c r="K1496">
        <v>1248707</v>
      </c>
      <c r="L1496" t="s">
        <v>282</v>
      </c>
      <c r="M1496">
        <v>0.88</v>
      </c>
    </row>
    <row r="1497" spans="1:13" x14ac:dyDescent="0.25">
      <c r="A1497">
        <v>2017</v>
      </c>
      <c r="B1497" t="s">
        <v>259</v>
      </c>
      <c r="C1497">
        <v>27053</v>
      </c>
      <c r="D1497" t="s">
        <v>274</v>
      </c>
      <c r="E1497" t="s">
        <v>261</v>
      </c>
      <c r="F1497" t="s">
        <v>270</v>
      </c>
      <c r="G1497" t="s">
        <v>269</v>
      </c>
      <c r="H1497">
        <v>812.05589019157901</v>
      </c>
      <c r="I1497" t="s">
        <v>264</v>
      </c>
      <c r="J1497" t="s">
        <v>265</v>
      </c>
      <c r="K1497">
        <v>1248707</v>
      </c>
      <c r="L1497" t="s">
        <v>282</v>
      </c>
      <c r="M1497">
        <v>0</v>
      </c>
    </row>
    <row r="1498" spans="1:13" x14ac:dyDescent="0.25">
      <c r="A1498">
        <v>2017</v>
      </c>
      <c r="B1498" t="s">
        <v>259</v>
      </c>
      <c r="C1498">
        <v>27123</v>
      </c>
      <c r="D1498" t="s">
        <v>275</v>
      </c>
      <c r="E1498" t="s">
        <v>261</v>
      </c>
      <c r="F1498" t="s">
        <v>262</v>
      </c>
      <c r="G1498" t="s">
        <v>263</v>
      </c>
      <c r="H1498">
        <v>1574271.6508255701</v>
      </c>
      <c r="I1498" t="s">
        <v>264</v>
      </c>
      <c r="J1498" t="s">
        <v>265</v>
      </c>
      <c r="K1498">
        <v>544919</v>
      </c>
      <c r="L1498" t="s">
        <v>282</v>
      </c>
      <c r="M1498">
        <v>2.89</v>
      </c>
    </row>
    <row r="1499" spans="1:13" x14ac:dyDescent="0.25">
      <c r="A1499">
        <v>2017</v>
      </c>
      <c r="B1499" t="s">
        <v>259</v>
      </c>
      <c r="C1499">
        <v>27123</v>
      </c>
      <c r="D1499" t="s">
        <v>275</v>
      </c>
      <c r="E1499" t="s">
        <v>261</v>
      </c>
      <c r="F1499" t="s">
        <v>262</v>
      </c>
      <c r="G1499" t="s">
        <v>267</v>
      </c>
      <c r="H1499">
        <v>16714.283210832298</v>
      </c>
      <c r="I1499" t="s">
        <v>264</v>
      </c>
      <c r="J1499" t="s">
        <v>265</v>
      </c>
      <c r="K1499">
        <v>544919</v>
      </c>
      <c r="L1499" t="s">
        <v>282</v>
      </c>
      <c r="M1499">
        <v>0.03</v>
      </c>
    </row>
    <row r="1500" spans="1:13" x14ac:dyDescent="0.25">
      <c r="A1500">
        <v>2017</v>
      </c>
      <c r="B1500" t="s">
        <v>259</v>
      </c>
      <c r="C1500">
        <v>27123</v>
      </c>
      <c r="D1500" t="s">
        <v>275</v>
      </c>
      <c r="E1500" t="s">
        <v>261</v>
      </c>
      <c r="F1500" t="s">
        <v>262</v>
      </c>
      <c r="G1500" t="s">
        <v>269</v>
      </c>
      <c r="H1500">
        <v>2038.83733337584</v>
      </c>
      <c r="I1500" t="s">
        <v>264</v>
      </c>
      <c r="J1500" t="s">
        <v>265</v>
      </c>
      <c r="K1500">
        <v>544919</v>
      </c>
      <c r="L1500" t="s">
        <v>282</v>
      </c>
      <c r="M1500">
        <v>0</v>
      </c>
    </row>
    <row r="1501" spans="1:13" x14ac:dyDescent="0.25">
      <c r="A1501">
        <v>2017</v>
      </c>
      <c r="B1501" t="s">
        <v>259</v>
      </c>
      <c r="C1501">
        <v>27123</v>
      </c>
      <c r="D1501" t="s">
        <v>275</v>
      </c>
      <c r="E1501" t="s">
        <v>261</v>
      </c>
      <c r="F1501" t="s">
        <v>268</v>
      </c>
      <c r="G1501" t="s">
        <v>263</v>
      </c>
      <c r="H1501">
        <v>3671.0814890092201</v>
      </c>
      <c r="I1501" t="s">
        <v>264</v>
      </c>
      <c r="J1501" t="s">
        <v>265</v>
      </c>
      <c r="K1501">
        <v>544919</v>
      </c>
      <c r="L1501" t="s">
        <v>282</v>
      </c>
      <c r="M1501">
        <v>0.01</v>
      </c>
    </row>
    <row r="1502" spans="1:13" x14ac:dyDescent="0.25">
      <c r="A1502">
        <v>2017</v>
      </c>
      <c r="B1502" t="s">
        <v>259</v>
      </c>
      <c r="C1502">
        <v>27123</v>
      </c>
      <c r="D1502" t="s">
        <v>275</v>
      </c>
      <c r="E1502" t="s">
        <v>261</v>
      </c>
      <c r="F1502" t="s">
        <v>268</v>
      </c>
      <c r="G1502" t="s">
        <v>267</v>
      </c>
      <c r="H1502">
        <v>20582.764169663798</v>
      </c>
      <c r="I1502" t="s">
        <v>264</v>
      </c>
      <c r="J1502" t="s">
        <v>265</v>
      </c>
      <c r="K1502">
        <v>544919</v>
      </c>
      <c r="L1502" t="s">
        <v>282</v>
      </c>
      <c r="M1502">
        <v>0.04</v>
      </c>
    </row>
    <row r="1503" spans="1:13" x14ac:dyDescent="0.25">
      <c r="A1503">
        <v>2017</v>
      </c>
      <c r="B1503" t="s">
        <v>259</v>
      </c>
      <c r="C1503">
        <v>27123</v>
      </c>
      <c r="D1503" t="s">
        <v>275</v>
      </c>
      <c r="E1503" t="s">
        <v>261</v>
      </c>
      <c r="F1503" t="s">
        <v>268</v>
      </c>
      <c r="G1503" t="s">
        <v>269</v>
      </c>
      <c r="H1503">
        <v>112.318052292491</v>
      </c>
      <c r="I1503" t="s">
        <v>264</v>
      </c>
      <c r="J1503" t="s">
        <v>265</v>
      </c>
      <c r="K1503">
        <v>544919</v>
      </c>
      <c r="L1503" t="s">
        <v>282</v>
      </c>
      <c r="M1503">
        <v>0</v>
      </c>
    </row>
    <row r="1504" spans="1:13" x14ac:dyDescent="0.25">
      <c r="A1504">
        <v>2017</v>
      </c>
      <c r="B1504" t="s">
        <v>259</v>
      </c>
      <c r="C1504">
        <v>27123</v>
      </c>
      <c r="D1504" t="s">
        <v>275</v>
      </c>
      <c r="E1504" t="s">
        <v>261</v>
      </c>
      <c r="F1504" t="s">
        <v>270</v>
      </c>
      <c r="G1504" t="s">
        <v>263</v>
      </c>
      <c r="H1504">
        <v>135347.796166396</v>
      </c>
      <c r="I1504" t="s">
        <v>264</v>
      </c>
      <c r="J1504" t="s">
        <v>265</v>
      </c>
      <c r="K1504">
        <v>544919</v>
      </c>
      <c r="L1504" t="s">
        <v>282</v>
      </c>
      <c r="M1504">
        <v>0.25</v>
      </c>
    </row>
    <row r="1505" spans="1:13" x14ac:dyDescent="0.25">
      <c r="A1505">
        <v>2017</v>
      </c>
      <c r="B1505" t="s">
        <v>259</v>
      </c>
      <c r="C1505">
        <v>27123</v>
      </c>
      <c r="D1505" t="s">
        <v>275</v>
      </c>
      <c r="E1505" t="s">
        <v>261</v>
      </c>
      <c r="F1505" t="s">
        <v>270</v>
      </c>
      <c r="G1505" t="s">
        <v>267</v>
      </c>
      <c r="H1505">
        <v>470712.22822948202</v>
      </c>
      <c r="I1505" t="s">
        <v>264</v>
      </c>
      <c r="J1505" t="s">
        <v>265</v>
      </c>
      <c r="K1505">
        <v>544919</v>
      </c>
      <c r="L1505" t="s">
        <v>282</v>
      </c>
      <c r="M1505">
        <v>0.86</v>
      </c>
    </row>
    <row r="1506" spans="1:13" x14ac:dyDescent="0.25">
      <c r="A1506">
        <v>2017</v>
      </c>
      <c r="B1506" t="s">
        <v>259</v>
      </c>
      <c r="C1506">
        <v>27123</v>
      </c>
      <c r="D1506" t="s">
        <v>275</v>
      </c>
      <c r="E1506" t="s">
        <v>261</v>
      </c>
      <c r="F1506" t="s">
        <v>270</v>
      </c>
      <c r="G1506" t="s">
        <v>269</v>
      </c>
      <c r="H1506">
        <v>387.72630294004699</v>
      </c>
      <c r="I1506" t="s">
        <v>264</v>
      </c>
      <c r="J1506" t="s">
        <v>265</v>
      </c>
      <c r="K1506">
        <v>544919</v>
      </c>
      <c r="L1506" t="s">
        <v>282</v>
      </c>
      <c r="M1506">
        <v>0</v>
      </c>
    </row>
    <row r="1507" spans="1:13" x14ac:dyDescent="0.25">
      <c r="A1507">
        <v>2017</v>
      </c>
      <c r="B1507" t="s">
        <v>259</v>
      </c>
      <c r="C1507">
        <v>27139</v>
      </c>
      <c r="D1507" t="s">
        <v>276</v>
      </c>
      <c r="E1507" t="s">
        <v>261</v>
      </c>
      <c r="F1507" t="s">
        <v>262</v>
      </c>
      <c r="G1507" t="s">
        <v>263</v>
      </c>
      <c r="H1507">
        <v>451031.43202954298</v>
      </c>
      <c r="I1507" t="s">
        <v>264</v>
      </c>
      <c r="J1507" t="s">
        <v>265</v>
      </c>
      <c r="K1507">
        <v>145581</v>
      </c>
      <c r="L1507" t="s">
        <v>282</v>
      </c>
      <c r="M1507">
        <v>3.1</v>
      </c>
    </row>
    <row r="1508" spans="1:13" x14ac:dyDescent="0.25">
      <c r="A1508">
        <v>2017</v>
      </c>
      <c r="B1508" t="s">
        <v>259</v>
      </c>
      <c r="C1508">
        <v>27139</v>
      </c>
      <c r="D1508" t="s">
        <v>276</v>
      </c>
      <c r="E1508" t="s">
        <v>261</v>
      </c>
      <c r="F1508" t="s">
        <v>262</v>
      </c>
      <c r="G1508" t="s">
        <v>267</v>
      </c>
      <c r="H1508">
        <v>11672.507301671199</v>
      </c>
      <c r="I1508" t="s">
        <v>264</v>
      </c>
      <c r="J1508" t="s">
        <v>265</v>
      </c>
      <c r="K1508">
        <v>145581</v>
      </c>
      <c r="L1508" t="s">
        <v>282</v>
      </c>
      <c r="M1508">
        <v>0.08</v>
      </c>
    </row>
    <row r="1509" spans="1:13" x14ac:dyDescent="0.25">
      <c r="A1509">
        <v>2017</v>
      </c>
      <c r="B1509" t="s">
        <v>259</v>
      </c>
      <c r="C1509">
        <v>27139</v>
      </c>
      <c r="D1509" t="s">
        <v>276</v>
      </c>
      <c r="E1509" t="s">
        <v>261</v>
      </c>
      <c r="F1509" t="s">
        <v>262</v>
      </c>
      <c r="G1509" t="s">
        <v>269</v>
      </c>
      <c r="H1509">
        <v>871.92498830483999</v>
      </c>
      <c r="I1509" t="s">
        <v>264</v>
      </c>
      <c r="J1509" t="s">
        <v>265</v>
      </c>
      <c r="K1509">
        <v>145581</v>
      </c>
      <c r="L1509" t="s">
        <v>282</v>
      </c>
      <c r="M1509">
        <v>0.01</v>
      </c>
    </row>
    <row r="1510" spans="1:13" x14ac:dyDescent="0.25">
      <c r="A1510">
        <v>2017</v>
      </c>
      <c r="B1510" t="s">
        <v>259</v>
      </c>
      <c r="C1510">
        <v>27139</v>
      </c>
      <c r="D1510" t="s">
        <v>276</v>
      </c>
      <c r="E1510" t="s">
        <v>261</v>
      </c>
      <c r="F1510" t="s">
        <v>268</v>
      </c>
      <c r="G1510" t="s">
        <v>263</v>
      </c>
      <c r="H1510">
        <v>957.20112730674498</v>
      </c>
      <c r="I1510" t="s">
        <v>264</v>
      </c>
      <c r="J1510" t="s">
        <v>265</v>
      </c>
      <c r="K1510">
        <v>145581</v>
      </c>
      <c r="L1510" t="s">
        <v>282</v>
      </c>
      <c r="M1510">
        <v>0.01</v>
      </c>
    </row>
    <row r="1511" spans="1:13" x14ac:dyDescent="0.25">
      <c r="A1511">
        <v>2017</v>
      </c>
      <c r="B1511" t="s">
        <v>259</v>
      </c>
      <c r="C1511">
        <v>27139</v>
      </c>
      <c r="D1511" t="s">
        <v>276</v>
      </c>
      <c r="E1511" t="s">
        <v>261</v>
      </c>
      <c r="F1511" t="s">
        <v>268</v>
      </c>
      <c r="G1511" t="s">
        <v>267</v>
      </c>
      <c r="H1511">
        <v>5980.6685837532596</v>
      </c>
      <c r="I1511" t="s">
        <v>264</v>
      </c>
      <c r="J1511" t="s">
        <v>265</v>
      </c>
      <c r="K1511">
        <v>145581</v>
      </c>
      <c r="L1511" t="s">
        <v>282</v>
      </c>
      <c r="M1511">
        <v>0.04</v>
      </c>
    </row>
    <row r="1512" spans="1:13" x14ac:dyDescent="0.25">
      <c r="A1512">
        <v>2017</v>
      </c>
      <c r="B1512" t="s">
        <v>259</v>
      </c>
      <c r="C1512">
        <v>27139</v>
      </c>
      <c r="D1512" t="s">
        <v>276</v>
      </c>
      <c r="E1512" t="s">
        <v>261</v>
      </c>
      <c r="F1512" t="s">
        <v>268</v>
      </c>
      <c r="G1512" t="s">
        <v>269</v>
      </c>
      <c r="H1512">
        <v>80.350371032249598</v>
      </c>
      <c r="I1512" t="s">
        <v>264</v>
      </c>
      <c r="J1512" t="s">
        <v>265</v>
      </c>
      <c r="K1512">
        <v>145581</v>
      </c>
      <c r="L1512" t="s">
        <v>282</v>
      </c>
      <c r="M1512">
        <v>0</v>
      </c>
    </row>
    <row r="1513" spans="1:13" x14ac:dyDescent="0.25">
      <c r="A1513">
        <v>2017</v>
      </c>
      <c r="B1513" t="s">
        <v>259</v>
      </c>
      <c r="C1513">
        <v>27139</v>
      </c>
      <c r="D1513" t="s">
        <v>276</v>
      </c>
      <c r="E1513" t="s">
        <v>261</v>
      </c>
      <c r="F1513" t="s">
        <v>270</v>
      </c>
      <c r="G1513" t="s">
        <v>263</v>
      </c>
      <c r="H1513">
        <v>27599.057299272401</v>
      </c>
      <c r="I1513" t="s">
        <v>264</v>
      </c>
      <c r="J1513" t="s">
        <v>265</v>
      </c>
      <c r="K1513">
        <v>145581</v>
      </c>
      <c r="L1513" t="s">
        <v>282</v>
      </c>
      <c r="M1513">
        <v>0.19</v>
      </c>
    </row>
    <row r="1514" spans="1:13" x14ac:dyDescent="0.25">
      <c r="A1514">
        <v>2017</v>
      </c>
      <c r="B1514" t="s">
        <v>259</v>
      </c>
      <c r="C1514">
        <v>27139</v>
      </c>
      <c r="D1514" t="s">
        <v>276</v>
      </c>
      <c r="E1514" t="s">
        <v>261</v>
      </c>
      <c r="F1514" t="s">
        <v>270</v>
      </c>
      <c r="G1514" t="s">
        <v>267</v>
      </c>
      <c r="H1514">
        <v>132700.21812054401</v>
      </c>
      <c r="I1514" t="s">
        <v>264</v>
      </c>
      <c r="J1514" t="s">
        <v>265</v>
      </c>
      <c r="K1514">
        <v>145581</v>
      </c>
      <c r="L1514" t="s">
        <v>282</v>
      </c>
      <c r="M1514">
        <v>0.91</v>
      </c>
    </row>
    <row r="1515" spans="1:13" x14ac:dyDescent="0.25">
      <c r="A1515">
        <v>2017</v>
      </c>
      <c r="B1515" t="s">
        <v>259</v>
      </c>
      <c r="C1515">
        <v>27139</v>
      </c>
      <c r="D1515" t="s">
        <v>276</v>
      </c>
      <c r="E1515" t="s">
        <v>261</v>
      </c>
      <c r="F1515" t="s">
        <v>270</v>
      </c>
      <c r="G1515" t="s">
        <v>269</v>
      </c>
      <c r="H1515">
        <v>75.9095313334943</v>
      </c>
      <c r="I1515" t="s">
        <v>264</v>
      </c>
      <c r="J1515" t="s">
        <v>265</v>
      </c>
      <c r="K1515">
        <v>145581</v>
      </c>
      <c r="L1515" t="s">
        <v>282</v>
      </c>
      <c r="M1515">
        <v>0</v>
      </c>
    </row>
    <row r="1516" spans="1:13" x14ac:dyDescent="0.25">
      <c r="A1516">
        <v>2017</v>
      </c>
      <c r="B1516" t="s">
        <v>259</v>
      </c>
      <c r="C1516">
        <v>27141</v>
      </c>
      <c r="D1516" t="s">
        <v>277</v>
      </c>
      <c r="E1516" t="s">
        <v>261</v>
      </c>
      <c r="F1516" t="s">
        <v>262</v>
      </c>
      <c r="G1516" t="s">
        <v>263</v>
      </c>
      <c r="H1516">
        <v>299516.20230778097</v>
      </c>
      <c r="I1516" t="s">
        <v>264</v>
      </c>
      <c r="J1516" t="s">
        <v>265</v>
      </c>
      <c r="K1516">
        <v>94527</v>
      </c>
      <c r="L1516" t="s">
        <v>282</v>
      </c>
      <c r="M1516">
        <v>3.17</v>
      </c>
    </row>
    <row r="1517" spans="1:13" x14ac:dyDescent="0.25">
      <c r="A1517">
        <v>2017</v>
      </c>
      <c r="B1517" t="s">
        <v>259</v>
      </c>
      <c r="C1517">
        <v>27141</v>
      </c>
      <c r="D1517" t="s">
        <v>277</v>
      </c>
      <c r="E1517" t="s">
        <v>261</v>
      </c>
      <c r="F1517" t="s">
        <v>262</v>
      </c>
      <c r="G1517" t="s">
        <v>267</v>
      </c>
      <c r="H1517">
        <v>13486.9185738957</v>
      </c>
      <c r="I1517" t="s">
        <v>264</v>
      </c>
      <c r="J1517" t="s">
        <v>265</v>
      </c>
      <c r="K1517">
        <v>94527</v>
      </c>
      <c r="L1517" t="s">
        <v>282</v>
      </c>
      <c r="M1517">
        <v>0.14000000000000001</v>
      </c>
    </row>
    <row r="1518" spans="1:13" x14ac:dyDescent="0.25">
      <c r="A1518">
        <v>2017</v>
      </c>
      <c r="B1518" t="s">
        <v>259</v>
      </c>
      <c r="C1518">
        <v>27141</v>
      </c>
      <c r="D1518" t="s">
        <v>277</v>
      </c>
      <c r="E1518" t="s">
        <v>261</v>
      </c>
      <c r="F1518" t="s">
        <v>262</v>
      </c>
      <c r="G1518" t="s">
        <v>269</v>
      </c>
      <c r="H1518">
        <v>658.29470555575699</v>
      </c>
      <c r="I1518" t="s">
        <v>264</v>
      </c>
      <c r="J1518" t="s">
        <v>265</v>
      </c>
      <c r="K1518">
        <v>94527</v>
      </c>
      <c r="L1518" t="s">
        <v>282</v>
      </c>
      <c r="M1518">
        <v>0.01</v>
      </c>
    </row>
    <row r="1519" spans="1:13" x14ac:dyDescent="0.25">
      <c r="A1519">
        <v>2017</v>
      </c>
      <c r="B1519" t="s">
        <v>259</v>
      </c>
      <c r="C1519">
        <v>27141</v>
      </c>
      <c r="D1519" t="s">
        <v>277</v>
      </c>
      <c r="E1519" t="s">
        <v>261</v>
      </c>
      <c r="F1519" t="s">
        <v>268</v>
      </c>
      <c r="G1519" t="s">
        <v>263</v>
      </c>
      <c r="H1519">
        <v>325.949882279522</v>
      </c>
      <c r="I1519" t="s">
        <v>264</v>
      </c>
      <c r="J1519" t="s">
        <v>265</v>
      </c>
      <c r="K1519">
        <v>94527</v>
      </c>
      <c r="L1519" t="s">
        <v>282</v>
      </c>
      <c r="M1519">
        <v>0</v>
      </c>
    </row>
    <row r="1520" spans="1:13" x14ac:dyDescent="0.25">
      <c r="A1520">
        <v>2017</v>
      </c>
      <c r="B1520" t="s">
        <v>259</v>
      </c>
      <c r="C1520">
        <v>27141</v>
      </c>
      <c r="D1520" t="s">
        <v>277</v>
      </c>
      <c r="E1520" t="s">
        <v>261</v>
      </c>
      <c r="F1520" t="s">
        <v>268</v>
      </c>
      <c r="G1520" t="s">
        <v>267</v>
      </c>
      <c r="H1520">
        <v>4022.1379580329099</v>
      </c>
      <c r="I1520" t="s">
        <v>264</v>
      </c>
      <c r="J1520" t="s">
        <v>265</v>
      </c>
      <c r="K1520">
        <v>94527</v>
      </c>
      <c r="L1520" t="s">
        <v>282</v>
      </c>
      <c r="M1520">
        <v>0.04</v>
      </c>
    </row>
    <row r="1521" spans="1:13" x14ac:dyDescent="0.25">
      <c r="A1521">
        <v>2017</v>
      </c>
      <c r="B1521" t="s">
        <v>259</v>
      </c>
      <c r="C1521">
        <v>27141</v>
      </c>
      <c r="D1521" t="s">
        <v>277</v>
      </c>
      <c r="E1521" t="s">
        <v>261</v>
      </c>
      <c r="F1521" t="s">
        <v>268</v>
      </c>
      <c r="G1521" t="s">
        <v>269</v>
      </c>
      <c r="H1521">
        <v>79.146225580664805</v>
      </c>
      <c r="I1521" t="s">
        <v>264</v>
      </c>
      <c r="J1521" t="s">
        <v>265</v>
      </c>
      <c r="K1521">
        <v>94527</v>
      </c>
      <c r="L1521" t="s">
        <v>282</v>
      </c>
      <c r="M1521">
        <v>0</v>
      </c>
    </row>
    <row r="1522" spans="1:13" x14ac:dyDescent="0.25">
      <c r="A1522">
        <v>2017</v>
      </c>
      <c r="B1522" t="s">
        <v>259</v>
      </c>
      <c r="C1522">
        <v>27141</v>
      </c>
      <c r="D1522" t="s">
        <v>277</v>
      </c>
      <c r="E1522" t="s">
        <v>261</v>
      </c>
      <c r="F1522" t="s">
        <v>270</v>
      </c>
      <c r="G1522" t="s">
        <v>263</v>
      </c>
      <c r="H1522">
        <v>16053.2421588827</v>
      </c>
      <c r="I1522" t="s">
        <v>264</v>
      </c>
      <c r="J1522" t="s">
        <v>265</v>
      </c>
      <c r="K1522">
        <v>94527</v>
      </c>
      <c r="L1522" t="s">
        <v>282</v>
      </c>
      <c r="M1522">
        <v>0.17</v>
      </c>
    </row>
    <row r="1523" spans="1:13" x14ac:dyDescent="0.25">
      <c r="A1523">
        <v>2017</v>
      </c>
      <c r="B1523" t="s">
        <v>259</v>
      </c>
      <c r="C1523">
        <v>27141</v>
      </c>
      <c r="D1523" t="s">
        <v>277</v>
      </c>
      <c r="E1523" t="s">
        <v>261</v>
      </c>
      <c r="F1523" t="s">
        <v>270</v>
      </c>
      <c r="G1523" t="s">
        <v>267</v>
      </c>
      <c r="H1523">
        <v>88951.662507182293</v>
      </c>
      <c r="I1523" t="s">
        <v>264</v>
      </c>
      <c r="J1523" t="s">
        <v>265</v>
      </c>
      <c r="K1523">
        <v>94527</v>
      </c>
      <c r="L1523" t="s">
        <v>282</v>
      </c>
      <c r="M1523">
        <v>0.94</v>
      </c>
    </row>
    <row r="1524" spans="1:13" x14ac:dyDescent="0.25">
      <c r="A1524">
        <v>2017</v>
      </c>
      <c r="B1524" t="s">
        <v>259</v>
      </c>
      <c r="C1524">
        <v>27141</v>
      </c>
      <c r="D1524" t="s">
        <v>277</v>
      </c>
      <c r="E1524" t="s">
        <v>261</v>
      </c>
      <c r="F1524" t="s">
        <v>270</v>
      </c>
      <c r="G1524" t="s">
        <v>269</v>
      </c>
      <c r="H1524">
        <v>79.212157318232798</v>
      </c>
      <c r="I1524" t="s">
        <v>264</v>
      </c>
      <c r="J1524" t="s">
        <v>265</v>
      </c>
      <c r="K1524">
        <v>94527</v>
      </c>
      <c r="L1524" t="s">
        <v>282</v>
      </c>
      <c r="M1524">
        <v>0</v>
      </c>
    </row>
    <row r="1525" spans="1:13" x14ac:dyDescent="0.25">
      <c r="A1525">
        <v>2017</v>
      </c>
      <c r="B1525" t="s">
        <v>259</v>
      </c>
      <c r="C1525">
        <v>27163</v>
      </c>
      <c r="D1525" t="s">
        <v>278</v>
      </c>
      <c r="E1525" t="s">
        <v>261</v>
      </c>
      <c r="F1525" t="s">
        <v>262</v>
      </c>
      <c r="G1525" t="s">
        <v>263</v>
      </c>
      <c r="H1525">
        <v>810672.72449514503</v>
      </c>
      <c r="I1525" t="s">
        <v>264</v>
      </c>
      <c r="J1525" t="s">
        <v>265</v>
      </c>
      <c r="K1525">
        <v>255717</v>
      </c>
      <c r="L1525" t="s">
        <v>282</v>
      </c>
      <c r="M1525">
        <v>3.17</v>
      </c>
    </row>
    <row r="1526" spans="1:13" x14ac:dyDescent="0.25">
      <c r="A1526">
        <v>2017</v>
      </c>
      <c r="B1526" t="s">
        <v>259</v>
      </c>
      <c r="C1526">
        <v>27163</v>
      </c>
      <c r="D1526" t="s">
        <v>278</v>
      </c>
      <c r="E1526" t="s">
        <v>261</v>
      </c>
      <c r="F1526" t="s">
        <v>262</v>
      </c>
      <c r="G1526" t="s">
        <v>267</v>
      </c>
      <c r="H1526">
        <v>17902.181930757499</v>
      </c>
      <c r="I1526" t="s">
        <v>264</v>
      </c>
      <c r="J1526" t="s">
        <v>265</v>
      </c>
      <c r="K1526">
        <v>255717</v>
      </c>
      <c r="L1526" t="s">
        <v>282</v>
      </c>
      <c r="M1526">
        <v>7.0000000000000007E-2</v>
      </c>
    </row>
    <row r="1527" spans="1:13" x14ac:dyDescent="0.25">
      <c r="A1527">
        <v>2017</v>
      </c>
      <c r="B1527" t="s">
        <v>259</v>
      </c>
      <c r="C1527">
        <v>27163</v>
      </c>
      <c r="D1527" t="s">
        <v>278</v>
      </c>
      <c r="E1527" t="s">
        <v>261</v>
      </c>
      <c r="F1527" t="s">
        <v>262</v>
      </c>
      <c r="G1527" t="s">
        <v>269</v>
      </c>
      <c r="H1527">
        <v>1461.4595088603601</v>
      </c>
      <c r="I1527" t="s">
        <v>264</v>
      </c>
      <c r="J1527" t="s">
        <v>265</v>
      </c>
      <c r="K1527">
        <v>255717</v>
      </c>
      <c r="L1527" t="s">
        <v>282</v>
      </c>
      <c r="M1527">
        <v>0.01</v>
      </c>
    </row>
    <row r="1528" spans="1:13" x14ac:dyDescent="0.25">
      <c r="A1528">
        <v>2017</v>
      </c>
      <c r="B1528" t="s">
        <v>259</v>
      </c>
      <c r="C1528">
        <v>27163</v>
      </c>
      <c r="D1528" t="s">
        <v>278</v>
      </c>
      <c r="E1528" t="s">
        <v>261</v>
      </c>
      <c r="F1528" t="s">
        <v>268</v>
      </c>
      <c r="G1528" t="s">
        <v>263</v>
      </c>
      <c r="H1528">
        <v>637.02582153763603</v>
      </c>
      <c r="I1528" t="s">
        <v>264</v>
      </c>
      <c r="J1528" t="s">
        <v>265</v>
      </c>
      <c r="K1528">
        <v>255717</v>
      </c>
      <c r="L1528" t="s">
        <v>282</v>
      </c>
      <c r="M1528">
        <v>0</v>
      </c>
    </row>
    <row r="1529" spans="1:13" x14ac:dyDescent="0.25">
      <c r="A1529">
        <v>2017</v>
      </c>
      <c r="B1529" t="s">
        <v>259</v>
      </c>
      <c r="C1529">
        <v>27163</v>
      </c>
      <c r="D1529" t="s">
        <v>278</v>
      </c>
      <c r="E1529" t="s">
        <v>261</v>
      </c>
      <c r="F1529" t="s">
        <v>268</v>
      </c>
      <c r="G1529" t="s">
        <v>267</v>
      </c>
      <c r="H1529">
        <v>11812.8432525854</v>
      </c>
      <c r="I1529" t="s">
        <v>264</v>
      </c>
      <c r="J1529" t="s">
        <v>265</v>
      </c>
      <c r="K1529">
        <v>255717</v>
      </c>
      <c r="L1529" t="s">
        <v>282</v>
      </c>
      <c r="M1529">
        <v>0.05</v>
      </c>
    </row>
    <row r="1530" spans="1:13" x14ac:dyDescent="0.25">
      <c r="A1530">
        <v>2017</v>
      </c>
      <c r="B1530" t="s">
        <v>259</v>
      </c>
      <c r="C1530">
        <v>27163</v>
      </c>
      <c r="D1530" t="s">
        <v>278</v>
      </c>
      <c r="E1530" t="s">
        <v>261</v>
      </c>
      <c r="F1530" t="s">
        <v>268</v>
      </c>
      <c r="G1530" t="s">
        <v>269</v>
      </c>
      <c r="H1530">
        <v>169.83124282420701</v>
      </c>
      <c r="I1530" t="s">
        <v>264</v>
      </c>
      <c r="J1530" t="s">
        <v>265</v>
      </c>
      <c r="K1530">
        <v>255717</v>
      </c>
      <c r="L1530" t="s">
        <v>282</v>
      </c>
      <c r="M1530">
        <v>0</v>
      </c>
    </row>
    <row r="1531" spans="1:13" x14ac:dyDescent="0.25">
      <c r="A1531">
        <v>2017</v>
      </c>
      <c r="B1531" t="s">
        <v>259</v>
      </c>
      <c r="C1531">
        <v>27163</v>
      </c>
      <c r="D1531" t="s">
        <v>278</v>
      </c>
      <c r="E1531" t="s">
        <v>261</v>
      </c>
      <c r="F1531" t="s">
        <v>270</v>
      </c>
      <c r="G1531" t="s">
        <v>263</v>
      </c>
      <c r="H1531">
        <v>39850.731407702398</v>
      </c>
      <c r="I1531" t="s">
        <v>264</v>
      </c>
      <c r="J1531" t="s">
        <v>265</v>
      </c>
      <c r="K1531">
        <v>255717</v>
      </c>
      <c r="L1531" t="s">
        <v>282</v>
      </c>
      <c r="M1531">
        <v>0.16</v>
      </c>
    </row>
    <row r="1532" spans="1:13" x14ac:dyDescent="0.25">
      <c r="A1532">
        <v>2017</v>
      </c>
      <c r="B1532" t="s">
        <v>259</v>
      </c>
      <c r="C1532">
        <v>27163</v>
      </c>
      <c r="D1532" t="s">
        <v>278</v>
      </c>
      <c r="E1532" t="s">
        <v>261</v>
      </c>
      <c r="F1532" t="s">
        <v>270</v>
      </c>
      <c r="G1532" t="s">
        <v>267</v>
      </c>
      <c r="H1532">
        <v>242221.35805006701</v>
      </c>
      <c r="I1532" t="s">
        <v>264</v>
      </c>
      <c r="J1532" t="s">
        <v>265</v>
      </c>
      <c r="K1532">
        <v>255717</v>
      </c>
      <c r="L1532" t="s">
        <v>282</v>
      </c>
      <c r="M1532">
        <v>0.95</v>
      </c>
    </row>
    <row r="1533" spans="1:13" x14ac:dyDescent="0.25">
      <c r="A1533">
        <v>2017</v>
      </c>
      <c r="B1533" t="s">
        <v>259</v>
      </c>
      <c r="C1533">
        <v>27163</v>
      </c>
      <c r="D1533" t="s">
        <v>278</v>
      </c>
      <c r="E1533" t="s">
        <v>261</v>
      </c>
      <c r="F1533" t="s">
        <v>270</v>
      </c>
      <c r="G1533" t="s">
        <v>269</v>
      </c>
      <c r="H1533">
        <v>142.17454952992</v>
      </c>
      <c r="I1533" t="s">
        <v>264</v>
      </c>
      <c r="J1533" t="s">
        <v>265</v>
      </c>
      <c r="K1533">
        <v>255717</v>
      </c>
      <c r="L1533" t="s">
        <v>282</v>
      </c>
      <c r="M1533">
        <v>0</v>
      </c>
    </row>
    <row r="1534" spans="1:13" x14ac:dyDescent="0.25">
      <c r="A1534">
        <v>2017</v>
      </c>
      <c r="B1534" t="s">
        <v>259</v>
      </c>
      <c r="C1534">
        <v>55093</v>
      </c>
      <c r="D1534" t="s">
        <v>279</v>
      </c>
      <c r="E1534" t="s">
        <v>261</v>
      </c>
      <c r="F1534" t="s">
        <v>262</v>
      </c>
      <c r="G1534" t="s">
        <v>263</v>
      </c>
      <c r="H1534">
        <v>124076.897687052</v>
      </c>
      <c r="I1534" t="s">
        <v>264</v>
      </c>
      <c r="J1534" t="s">
        <v>265</v>
      </c>
      <c r="K1534">
        <v>42075</v>
      </c>
      <c r="L1534" t="s">
        <v>282</v>
      </c>
      <c r="M1534">
        <v>2.95</v>
      </c>
    </row>
    <row r="1535" spans="1:13" x14ac:dyDescent="0.25">
      <c r="A1535">
        <v>2017</v>
      </c>
      <c r="B1535" t="s">
        <v>259</v>
      </c>
      <c r="C1535">
        <v>55093</v>
      </c>
      <c r="D1535" t="s">
        <v>279</v>
      </c>
      <c r="E1535" t="s">
        <v>261</v>
      </c>
      <c r="F1535" t="s">
        <v>262</v>
      </c>
      <c r="G1535" t="s">
        <v>267</v>
      </c>
      <c r="H1535">
        <v>5551.8464576173501</v>
      </c>
      <c r="I1535" t="s">
        <v>264</v>
      </c>
      <c r="J1535" t="s">
        <v>265</v>
      </c>
      <c r="K1535">
        <v>42075</v>
      </c>
      <c r="L1535" t="s">
        <v>282</v>
      </c>
      <c r="M1535">
        <v>0.13</v>
      </c>
    </row>
    <row r="1536" spans="1:13" x14ac:dyDescent="0.25">
      <c r="A1536">
        <v>2017</v>
      </c>
      <c r="B1536" t="s">
        <v>259</v>
      </c>
      <c r="C1536">
        <v>55093</v>
      </c>
      <c r="D1536" t="s">
        <v>279</v>
      </c>
      <c r="E1536" t="s">
        <v>261</v>
      </c>
      <c r="F1536" t="s">
        <v>262</v>
      </c>
      <c r="G1536" t="s">
        <v>269</v>
      </c>
      <c r="H1536">
        <v>293.51333614358902</v>
      </c>
      <c r="I1536" t="s">
        <v>264</v>
      </c>
      <c r="J1536" t="s">
        <v>265</v>
      </c>
      <c r="K1536">
        <v>42075</v>
      </c>
      <c r="L1536" t="s">
        <v>282</v>
      </c>
      <c r="M1536">
        <v>0.01</v>
      </c>
    </row>
    <row r="1537" spans="1:13" x14ac:dyDescent="0.25">
      <c r="A1537">
        <v>2017</v>
      </c>
      <c r="B1537" t="s">
        <v>259</v>
      </c>
      <c r="C1537">
        <v>55093</v>
      </c>
      <c r="D1537" t="s">
        <v>279</v>
      </c>
      <c r="E1537" t="s">
        <v>261</v>
      </c>
      <c r="F1537" t="s">
        <v>268</v>
      </c>
      <c r="G1537" t="s">
        <v>263</v>
      </c>
      <c r="H1537">
        <v>189.518050329196</v>
      </c>
      <c r="I1537" t="s">
        <v>264</v>
      </c>
      <c r="J1537" t="s">
        <v>265</v>
      </c>
      <c r="K1537">
        <v>42075</v>
      </c>
      <c r="L1537" t="s">
        <v>282</v>
      </c>
      <c r="M1537">
        <v>0</v>
      </c>
    </row>
    <row r="1538" spans="1:13" x14ac:dyDescent="0.25">
      <c r="A1538">
        <v>2017</v>
      </c>
      <c r="B1538" t="s">
        <v>259</v>
      </c>
      <c r="C1538">
        <v>55093</v>
      </c>
      <c r="D1538" t="s">
        <v>279</v>
      </c>
      <c r="E1538" t="s">
        <v>261</v>
      </c>
      <c r="F1538" t="s">
        <v>268</v>
      </c>
      <c r="G1538" t="s">
        <v>267</v>
      </c>
      <c r="H1538">
        <v>2333.8598082348299</v>
      </c>
      <c r="I1538" t="s">
        <v>264</v>
      </c>
      <c r="J1538" t="s">
        <v>265</v>
      </c>
      <c r="K1538">
        <v>42075</v>
      </c>
      <c r="L1538" t="s">
        <v>282</v>
      </c>
      <c r="M1538">
        <v>0.06</v>
      </c>
    </row>
    <row r="1539" spans="1:13" x14ac:dyDescent="0.25">
      <c r="A1539">
        <v>2017</v>
      </c>
      <c r="B1539" t="s">
        <v>259</v>
      </c>
      <c r="C1539">
        <v>55093</v>
      </c>
      <c r="D1539" t="s">
        <v>279</v>
      </c>
      <c r="E1539" t="s">
        <v>261</v>
      </c>
      <c r="F1539" t="s">
        <v>268</v>
      </c>
      <c r="G1539" t="s">
        <v>269</v>
      </c>
      <c r="H1539">
        <v>66.850458278754502</v>
      </c>
      <c r="I1539" t="s">
        <v>264</v>
      </c>
      <c r="J1539" t="s">
        <v>265</v>
      </c>
      <c r="K1539">
        <v>42075</v>
      </c>
      <c r="L1539" t="s">
        <v>282</v>
      </c>
      <c r="M1539">
        <v>0</v>
      </c>
    </row>
    <row r="1540" spans="1:13" x14ac:dyDescent="0.25">
      <c r="A1540">
        <v>2017</v>
      </c>
      <c r="B1540" t="s">
        <v>259</v>
      </c>
      <c r="C1540">
        <v>55093</v>
      </c>
      <c r="D1540" t="s">
        <v>279</v>
      </c>
      <c r="E1540" t="s">
        <v>261</v>
      </c>
      <c r="F1540" t="s">
        <v>270</v>
      </c>
      <c r="G1540" t="s">
        <v>263</v>
      </c>
      <c r="H1540">
        <v>7111.8237897895096</v>
      </c>
      <c r="I1540" t="s">
        <v>264</v>
      </c>
      <c r="J1540" t="s">
        <v>265</v>
      </c>
      <c r="K1540">
        <v>42075</v>
      </c>
      <c r="L1540" t="s">
        <v>282</v>
      </c>
      <c r="M1540">
        <v>0.17</v>
      </c>
    </row>
    <row r="1541" spans="1:13" x14ac:dyDescent="0.25">
      <c r="A1541">
        <v>2017</v>
      </c>
      <c r="B1541" t="s">
        <v>259</v>
      </c>
      <c r="C1541">
        <v>55093</v>
      </c>
      <c r="D1541" t="s">
        <v>279</v>
      </c>
      <c r="E1541" t="s">
        <v>261</v>
      </c>
      <c r="F1541" t="s">
        <v>270</v>
      </c>
      <c r="G1541" t="s">
        <v>267</v>
      </c>
      <c r="H1541">
        <v>22099.067293460699</v>
      </c>
      <c r="I1541" t="s">
        <v>264</v>
      </c>
      <c r="J1541" t="s">
        <v>265</v>
      </c>
      <c r="K1541">
        <v>42075</v>
      </c>
      <c r="L1541" t="s">
        <v>282</v>
      </c>
      <c r="M1541">
        <v>0.53</v>
      </c>
    </row>
    <row r="1542" spans="1:13" x14ac:dyDescent="0.25">
      <c r="A1542">
        <v>2017</v>
      </c>
      <c r="B1542" t="s">
        <v>259</v>
      </c>
      <c r="C1542">
        <v>55093</v>
      </c>
      <c r="D1542" t="s">
        <v>279</v>
      </c>
      <c r="E1542" t="s">
        <v>261</v>
      </c>
      <c r="F1542" t="s">
        <v>270</v>
      </c>
      <c r="G1542" t="s">
        <v>269</v>
      </c>
      <c r="H1542">
        <v>26.7475900917998</v>
      </c>
      <c r="I1542" t="s">
        <v>264</v>
      </c>
      <c r="J1542" t="s">
        <v>265</v>
      </c>
      <c r="K1542">
        <v>42075</v>
      </c>
      <c r="L1542" t="s">
        <v>282</v>
      </c>
      <c r="M1542">
        <v>0</v>
      </c>
    </row>
    <row r="1543" spans="1:13" x14ac:dyDescent="0.25">
      <c r="A1543">
        <v>2017</v>
      </c>
      <c r="B1543" t="s">
        <v>259</v>
      </c>
      <c r="C1543">
        <v>55109</v>
      </c>
      <c r="D1543" t="s">
        <v>280</v>
      </c>
      <c r="E1543" t="s">
        <v>261</v>
      </c>
      <c r="F1543" t="s">
        <v>262</v>
      </c>
      <c r="G1543" t="s">
        <v>263</v>
      </c>
      <c r="H1543">
        <v>408527.63263955602</v>
      </c>
      <c r="I1543" t="s">
        <v>264</v>
      </c>
      <c r="J1543" t="s">
        <v>265</v>
      </c>
      <c r="K1543">
        <v>88615</v>
      </c>
      <c r="L1543" t="s">
        <v>282</v>
      </c>
      <c r="M1543">
        <v>4.6100000000000003</v>
      </c>
    </row>
    <row r="1544" spans="1:13" x14ac:dyDescent="0.25">
      <c r="A1544">
        <v>2017</v>
      </c>
      <c r="B1544" t="s">
        <v>259</v>
      </c>
      <c r="C1544">
        <v>55109</v>
      </c>
      <c r="D1544" t="s">
        <v>280</v>
      </c>
      <c r="E1544" t="s">
        <v>261</v>
      </c>
      <c r="F1544" t="s">
        <v>262</v>
      </c>
      <c r="G1544" t="s">
        <v>267</v>
      </c>
      <c r="H1544">
        <v>17456.6530270894</v>
      </c>
      <c r="I1544" t="s">
        <v>264</v>
      </c>
      <c r="J1544" t="s">
        <v>265</v>
      </c>
      <c r="K1544">
        <v>88615</v>
      </c>
      <c r="L1544" t="s">
        <v>282</v>
      </c>
      <c r="M1544">
        <v>0.2</v>
      </c>
    </row>
    <row r="1545" spans="1:13" x14ac:dyDescent="0.25">
      <c r="A1545">
        <v>2017</v>
      </c>
      <c r="B1545" t="s">
        <v>259</v>
      </c>
      <c r="C1545">
        <v>55109</v>
      </c>
      <c r="D1545" t="s">
        <v>280</v>
      </c>
      <c r="E1545" t="s">
        <v>261</v>
      </c>
      <c r="F1545" t="s">
        <v>262</v>
      </c>
      <c r="G1545" t="s">
        <v>269</v>
      </c>
      <c r="H1545">
        <v>930.26479878911402</v>
      </c>
      <c r="I1545" t="s">
        <v>264</v>
      </c>
      <c r="J1545" t="s">
        <v>265</v>
      </c>
      <c r="K1545">
        <v>88615</v>
      </c>
      <c r="L1545" t="s">
        <v>282</v>
      </c>
      <c r="M1545">
        <v>0.01</v>
      </c>
    </row>
    <row r="1546" spans="1:13" x14ac:dyDescent="0.25">
      <c r="A1546">
        <v>2017</v>
      </c>
      <c r="B1546" t="s">
        <v>259</v>
      </c>
      <c r="C1546">
        <v>55109</v>
      </c>
      <c r="D1546" t="s">
        <v>280</v>
      </c>
      <c r="E1546" t="s">
        <v>261</v>
      </c>
      <c r="F1546" t="s">
        <v>268</v>
      </c>
      <c r="G1546" t="s">
        <v>263</v>
      </c>
      <c r="H1546">
        <v>507.04895265406901</v>
      </c>
      <c r="I1546" t="s">
        <v>264</v>
      </c>
      <c r="J1546" t="s">
        <v>265</v>
      </c>
      <c r="K1546">
        <v>88615</v>
      </c>
      <c r="L1546" t="s">
        <v>282</v>
      </c>
      <c r="M1546">
        <v>0.01</v>
      </c>
    </row>
    <row r="1547" spans="1:13" x14ac:dyDescent="0.25">
      <c r="A1547">
        <v>2017</v>
      </c>
      <c r="B1547" t="s">
        <v>259</v>
      </c>
      <c r="C1547">
        <v>55109</v>
      </c>
      <c r="D1547" t="s">
        <v>280</v>
      </c>
      <c r="E1547" t="s">
        <v>261</v>
      </c>
      <c r="F1547" t="s">
        <v>268</v>
      </c>
      <c r="G1547" t="s">
        <v>267</v>
      </c>
      <c r="H1547">
        <v>7265.3657193317104</v>
      </c>
      <c r="I1547" t="s">
        <v>264</v>
      </c>
      <c r="J1547" t="s">
        <v>265</v>
      </c>
      <c r="K1547">
        <v>88615</v>
      </c>
      <c r="L1547" t="s">
        <v>282</v>
      </c>
      <c r="M1547">
        <v>0.08</v>
      </c>
    </row>
    <row r="1548" spans="1:13" x14ac:dyDescent="0.25">
      <c r="A1548">
        <v>2017</v>
      </c>
      <c r="B1548" t="s">
        <v>259</v>
      </c>
      <c r="C1548">
        <v>55109</v>
      </c>
      <c r="D1548" t="s">
        <v>280</v>
      </c>
      <c r="E1548" t="s">
        <v>261</v>
      </c>
      <c r="F1548" t="s">
        <v>268</v>
      </c>
      <c r="G1548" t="s">
        <v>269</v>
      </c>
      <c r="H1548">
        <v>161.75897921410399</v>
      </c>
      <c r="I1548" t="s">
        <v>264</v>
      </c>
      <c r="J1548" t="s">
        <v>265</v>
      </c>
      <c r="K1548">
        <v>88615</v>
      </c>
      <c r="L1548" t="s">
        <v>282</v>
      </c>
      <c r="M1548">
        <v>0</v>
      </c>
    </row>
    <row r="1549" spans="1:13" x14ac:dyDescent="0.25">
      <c r="A1549">
        <v>2017</v>
      </c>
      <c r="B1549" t="s">
        <v>259</v>
      </c>
      <c r="C1549">
        <v>55109</v>
      </c>
      <c r="D1549" t="s">
        <v>280</v>
      </c>
      <c r="E1549" t="s">
        <v>261</v>
      </c>
      <c r="F1549" t="s">
        <v>270</v>
      </c>
      <c r="G1549" t="s">
        <v>263</v>
      </c>
      <c r="H1549">
        <v>24867.309915369598</v>
      </c>
      <c r="I1549" t="s">
        <v>264</v>
      </c>
      <c r="J1549" t="s">
        <v>265</v>
      </c>
      <c r="K1549">
        <v>88615</v>
      </c>
      <c r="L1549" t="s">
        <v>282</v>
      </c>
      <c r="M1549">
        <v>0.28000000000000003</v>
      </c>
    </row>
    <row r="1550" spans="1:13" x14ac:dyDescent="0.25">
      <c r="A1550">
        <v>2017</v>
      </c>
      <c r="B1550" t="s">
        <v>259</v>
      </c>
      <c r="C1550">
        <v>55109</v>
      </c>
      <c r="D1550" t="s">
        <v>280</v>
      </c>
      <c r="E1550" t="s">
        <v>261</v>
      </c>
      <c r="F1550" t="s">
        <v>270</v>
      </c>
      <c r="G1550" t="s">
        <v>267</v>
      </c>
      <c r="H1550">
        <v>151049.470429774</v>
      </c>
      <c r="I1550" t="s">
        <v>264</v>
      </c>
      <c r="J1550" t="s">
        <v>265</v>
      </c>
      <c r="K1550">
        <v>88615</v>
      </c>
      <c r="L1550" t="s">
        <v>282</v>
      </c>
      <c r="M1550">
        <v>1.7</v>
      </c>
    </row>
    <row r="1551" spans="1:13" x14ac:dyDescent="0.25">
      <c r="A1551">
        <v>2017</v>
      </c>
      <c r="B1551" t="s">
        <v>259</v>
      </c>
      <c r="C1551">
        <v>55109</v>
      </c>
      <c r="D1551" t="s">
        <v>280</v>
      </c>
      <c r="E1551" t="s">
        <v>261</v>
      </c>
      <c r="F1551" t="s">
        <v>270</v>
      </c>
      <c r="G1551" t="s">
        <v>269</v>
      </c>
      <c r="H1551">
        <v>101.97022155628601</v>
      </c>
      <c r="I1551" t="s">
        <v>264</v>
      </c>
      <c r="J1551" t="s">
        <v>265</v>
      </c>
      <c r="K1551">
        <v>88615</v>
      </c>
      <c r="L1551" t="s">
        <v>282</v>
      </c>
      <c r="M1551">
        <v>0</v>
      </c>
    </row>
    <row r="1552" spans="1:13" x14ac:dyDescent="0.25">
      <c r="A1552">
        <v>2018</v>
      </c>
      <c r="B1552" t="s">
        <v>259</v>
      </c>
      <c r="C1552">
        <v>27003</v>
      </c>
      <c r="D1552" t="s">
        <v>260</v>
      </c>
      <c r="E1552" t="s">
        <v>261</v>
      </c>
      <c r="F1552" t="s">
        <v>262</v>
      </c>
      <c r="G1552" t="s">
        <v>263</v>
      </c>
      <c r="H1552">
        <v>1059952.03660576</v>
      </c>
      <c r="I1552" t="s">
        <v>264</v>
      </c>
      <c r="J1552" t="s">
        <v>265</v>
      </c>
      <c r="K1552">
        <v>354004</v>
      </c>
      <c r="L1552" t="s">
        <v>282</v>
      </c>
      <c r="M1552">
        <v>2.99</v>
      </c>
    </row>
    <row r="1553" spans="1:13" x14ac:dyDescent="0.25">
      <c r="A1553">
        <v>2018</v>
      </c>
      <c r="B1553" t="s">
        <v>259</v>
      </c>
      <c r="C1553">
        <v>27003</v>
      </c>
      <c r="D1553" t="s">
        <v>260</v>
      </c>
      <c r="E1553" t="s">
        <v>261</v>
      </c>
      <c r="F1553" t="s">
        <v>262</v>
      </c>
      <c r="G1553" t="s">
        <v>267</v>
      </c>
      <c r="H1553">
        <v>24398.901285312499</v>
      </c>
      <c r="I1553" t="s">
        <v>264</v>
      </c>
      <c r="J1553" t="s">
        <v>265</v>
      </c>
      <c r="K1553">
        <v>354004</v>
      </c>
      <c r="L1553" t="s">
        <v>282</v>
      </c>
      <c r="M1553">
        <v>7.0000000000000007E-2</v>
      </c>
    </row>
    <row r="1554" spans="1:13" x14ac:dyDescent="0.25">
      <c r="A1554">
        <v>2018</v>
      </c>
      <c r="B1554" t="s">
        <v>259</v>
      </c>
      <c r="C1554">
        <v>27003</v>
      </c>
      <c r="D1554" t="s">
        <v>260</v>
      </c>
      <c r="E1554" t="s">
        <v>261</v>
      </c>
      <c r="F1554" t="s">
        <v>262</v>
      </c>
      <c r="G1554" t="s">
        <v>269</v>
      </c>
      <c r="H1554">
        <v>1958.64483539864</v>
      </c>
      <c r="I1554" t="s">
        <v>264</v>
      </c>
      <c r="J1554" t="s">
        <v>265</v>
      </c>
      <c r="K1554">
        <v>354004</v>
      </c>
      <c r="L1554" t="s">
        <v>282</v>
      </c>
      <c r="M1554">
        <v>0.01</v>
      </c>
    </row>
    <row r="1555" spans="1:13" x14ac:dyDescent="0.25">
      <c r="A1555">
        <v>2018</v>
      </c>
      <c r="B1555" t="s">
        <v>259</v>
      </c>
      <c r="C1555">
        <v>27003</v>
      </c>
      <c r="D1555" t="s">
        <v>260</v>
      </c>
      <c r="E1555" t="s">
        <v>261</v>
      </c>
      <c r="F1555" t="s">
        <v>268</v>
      </c>
      <c r="G1555" t="s">
        <v>263</v>
      </c>
      <c r="H1555">
        <v>2339.7505067370198</v>
      </c>
      <c r="I1555" t="s">
        <v>264</v>
      </c>
      <c r="J1555" t="s">
        <v>265</v>
      </c>
      <c r="K1555">
        <v>354004</v>
      </c>
      <c r="L1555" t="s">
        <v>282</v>
      </c>
      <c r="M1555">
        <v>0.01</v>
      </c>
    </row>
    <row r="1556" spans="1:13" x14ac:dyDescent="0.25">
      <c r="A1556">
        <v>2018</v>
      </c>
      <c r="B1556" t="s">
        <v>259</v>
      </c>
      <c r="C1556">
        <v>27003</v>
      </c>
      <c r="D1556" t="s">
        <v>260</v>
      </c>
      <c r="E1556" t="s">
        <v>261</v>
      </c>
      <c r="F1556" t="s">
        <v>268</v>
      </c>
      <c r="G1556" t="s">
        <v>267</v>
      </c>
      <c r="H1556">
        <v>14082.5544781769</v>
      </c>
      <c r="I1556" t="s">
        <v>264</v>
      </c>
      <c r="J1556" t="s">
        <v>265</v>
      </c>
      <c r="K1556">
        <v>354004</v>
      </c>
      <c r="L1556" t="s">
        <v>282</v>
      </c>
      <c r="M1556">
        <v>0.04</v>
      </c>
    </row>
    <row r="1557" spans="1:13" x14ac:dyDescent="0.25">
      <c r="A1557">
        <v>2018</v>
      </c>
      <c r="B1557" t="s">
        <v>259</v>
      </c>
      <c r="C1557">
        <v>27003</v>
      </c>
      <c r="D1557" t="s">
        <v>260</v>
      </c>
      <c r="E1557" t="s">
        <v>261</v>
      </c>
      <c r="F1557" t="s">
        <v>268</v>
      </c>
      <c r="G1557" t="s">
        <v>269</v>
      </c>
      <c r="H1557">
        <v>4.4305063187923599</v>
      </c>
      <c r="I1557" t="s">
        <v>264</v>
      </c>
      <c r="J1557" t="s">
        <v>265</v>
      </c>
      <c r="K1557">
        <v>354004</v>
      </c>
      <c r="L1557" t="s">
        <v>282</v>
      </c>
      <c r="M1557">
        <v>0</v>
      </c>
    </row>
    <row r="1558" spans="1:13" x14ac:dyDescent="0.25">
      <c r="A1558">
        <v>2018</v>
      </c>
      <c r="B1558" t="s">
        <v>259</v>
      </c>
      <c r="C1558">
        <v>27003</v>
      </c>
      <c r="D1558" t="s">
        <v>260</v>
      </c>
      <c r="E1558" t="s">
        <v>261</v>
      </c>
      <c r="F1558" t="s">
        <v>270</v>
      </c>
      <c r="G1558" t="s">
        <v>263</v>
      </c>
      <c r="H1558">
        <v>78734.601367728203</v>
      </c>
      <c r="I1558" t="s">
        <v>264</v>
      </c>
      <c r="J1558" t="s">
        <v>265</v>
      </c>
      <c r="K1558">
        <v>354004</v>
      </c>
      <c r="L1558" t="s">
        <v>282</v>
      </c>
      <c r="M1558">
        <v>0.22</v>
      </c>
    </row>
    <row r="1559" spans="1:13" x14ac:dyDescent="0.25">
      <c r="A1559">
        <v>2018</v>
      </c>
      <c r="B1559" t="s">
        <v>259</v>
      </c>
      <c r="C1559">
        <v>27003</v>
      </c>
      <c r="D1559" t="s">
        <v>260</v>
      </c>
      <c r="E1559" t="s">
        <v>261</v>
      </c>
      <c r="F1559" t="s">
        <v>270</v>
      </c>
      <c r="G1559" t="s">
        <v>267</v>
      </c>
      <c r="H1559">
        <v>313470.64035670902</v>
      </c>
      <c r="I1559" t="s">
        <v>264</v>
      </c>
      <c r="J1559" t="s">
        <v>265</v>
      </c>
      <c r="K1559">
        <v>354004</v>
      </c>
      <c r="L1559" t="s">
        <v>282</v>
      </c>
      <c r="M1559">
        <v>0.89</v>
      </c>
    </row>
    <row r="1560" spans="1:13" x14ac:dyDescent="0.25">
      <c r="A1560">
        <v>2018</v>
      </c>
      <c r="B1560" t="s">
        <v>259</v>
      </c>
      <c r="C1560">
        <v>27003</v>
      </c>
      <c r="D1560" t="s">
        <v>260</v>
      </c>
      <c r="E1560" t="s">
        <v>261</v>
      </c>
      <c r="F1560" t="s">
        <v>270</v>
      </c>
      <c r="G1560" t="s">
        <v>269</v>
      </c>
      <c r="H1560">
        <v>146.246671230565</v>
      </c>
      <c r="I1560" t="s">
        <v>264</v>
      </c>
      <c r="J1560" t="s">
        <v>265</v>
      </c>
      <c r="K1560">
        <v>354004</v>
      </c>
      <c r="L1560" t="s">
        <v>282</v>
      </c>
      <c r="M1560">
        <v>0</v>
      </c>
    </row>
    <row r="1561" spans="1:13" x14ac:dyDescent="0.25">
      <c r="A1561">
        <v>2018</v>
      </c>
      <c r="B1561" t="s">
        <v>259</v>
      </c>
      <c r="C1561">
        <v>27019</v>
      </c>
      <c r="D1561" t="s">
        <v>271</v>
      </c>
      <c r="E1561" t="s">
        <v>261</v>
      </c>
      <c r="F1561" t="s">
        <v>262</v>
      </c>
      <c r="G1561" t="s">
        <v>263</v>
      </c>
      <c r="H1561">
        <v>300930.27730224503</v>
      </c>
      <c r="I1561" t="s">
        <v>264</v>
      </c>
      <c r="J1561" t="s">
        <v>265</v>
      </c>
      <c r="K1561">
        <v>103605</v>
      </c>
      <c r="L1561" t="s">
        <v>282</v>
      </c>
      <c r="M1561">
        <v>2.9</v>
      </c>
    </row>
    <row r="1562" spans="1:13" x14ac:dyDescent="0.25">
      <c r="A1562">
        <v>2018</v>
      </c>
      <c r="B1562" t="s">
        <v>259</v>
      </c>
      <c r="C1562">
        <v>27019</v>
      </c>
      <c r="D1562" t="s">
        <v>271</v>
      </c>
      <c r="E1562" t="s">
        <v>261</v>
      </c>
      <c r="F1562" t="s">
        <v>262</v>
      </c>
      <c r="G1562" t="s">
        <v>267</v>
      </c>
      <c r="H1562">
        <v>7826.7312654955804</v>
      </c>
      <c r="I1562" t="s">
        <v>264</v>
      </c>
      <c r="J1562" t="s">
        <v>265</v>
      </c>
      <c r="K1562">
        <v>103605</v>
      </c>
      <c r="L1562" t="s">
        <v>282</v>
      </c>
      <c r="M1562">
        <v>0.08</v>
      </c>
    </row>
    <row r="1563" spans="1:13" x14ac:dyDescent="0.25">
      <c r="A1563">
        <v>2018</v>
      </c>
      <c r="B1563" t="s">
        <v>259</v>
      </c>
      <c r="C1563">
        <v>27019</v>
      </c>
      <c r="D1563" t="s">
        <v>271</v>
      </c>
      <c r="E1563" t="s">
        <v>261</v>
      </c>
      <c r="F1563" t="s">
        <v>262</v>
      </c>
      <c r="G1563" t="s">
        <v>269</v>
      </c>
      <c r="H1563">
        <v>588.61095535628203</v>
      </c>
      <c r="I1563" t="s">
        <v>264</v>
      </c>
      <c r="J1563" t="s">
        <v>265</v>
      </c>
      <c r="K1563">
        <v>103605</v>
      </c>
      <c r="L1563" t="s">
        <v>282</v>
      </c>
      <c r="M1563">
        <v>0.01</v>
      </c>
    </row>
    <row r="1564" spans="1:13" x14ac:dyDescent="0.25">
      <c r="A1564">
        <v>2018</v>
      </c>
      <c r="B1564" t="s">
        <v>259</v>
      </c>
      <c r="C1564">
        <v>27019</v>
      </c>
      <c r="D1564" t="s">
        <v>271</v>
      </c>
      <c r="E1564" t="s">
        <v>261</v>
      </c>
      <c r="F1564" t="s">
        <v>268</v>
      </c>
      <c r="G1564" t="s">
        <v>263</v>
      </c>
      <c r="H1564">
        <v>709.57153013348898</v>
      </c>
      <c r="I1564" t="s">
        <v>264</v>
      </c>
      <c r="J1564" t="s">
        <v>265</v>
      </c>
      <c r="K1564">
        <v>103605</v>
      </c>
      <c r="L1564" t="s">
        <v>282</v>
      </c>
      <c r="M1564">
        <v>0.01</v>
      </c>
    </row>
    <row r="1565" spans="1:13" x14ac:dyDescent="0.25">
      <c r="A1565">
        <v>2018</v>
      </c>
      <c r="B1565" t="s">
        <v>259</v>
      </c>
      <c r="C1565">
        <v>27019</v>
      </c>
      <c r="D1565" t="s">
        <v>271</v>
      </c>
      <c r="E1565" t="s">
        <v>261</v>
      </c>
      <c r="F1565" t="s">
        <v>268</v>
      </c>
      <c r="G1565" t="s">
        <v>267</v>
      </c>
      <c r="H1565">
        <v>3904.7142205452001</v>
      </c>
      <c r="I1565" t="s">
        <v>264</v>
      </c>
      <c r="J1565" t="s">
        <v>265</v>
      </c>
      <c r="K1565">
        <v>103605</v>
      </c>
      <c r="L1565" t="s">
        <v>282</v>
      </c>
      <c r="M1565">
        <v>0.04</v>
      </c>
    </row>
    <row r="1566" spans="1:13" x14ac:dyDescent="0.25">
      <c r="A1566">
        <v>2018</v>
      </c>
      <c r="B1566" t="s">
        <v>259</v>
      </c>
      <c r="C1566">
        <v>27019</v>
      </c>
      <c r="D1566" t="s">
        <v>271</v>
      </c>
      <c r="E1566" t="s">
        <v>261</v>
      </c>
      <c r="F1566" t="s">
        <v>268</v>
      </c>
      <c r="G1566" t="s">
        <v>269</v>
      </c>
      <c r="H1566">
        <v>121.102387349037</v>
      </c>
      <c r="I1566" t="s">
        <v>264</v>
      </c>
      <c r="J1566" t="s">
        <v>265</v>
      </c>
      <c r="K1566">
        <v>103605</v>
      </c>
      <c r="L1566" t="s">
        <v>282</v>
      </c>
      <c r="M1566">
        <v>0</v>
      </c>
    </row>
    <row r="1567" spans="1:13" x14ac:dyDescent="0.25">
      <c r="A1567">
        <v>2018</v>
      </c>
      <c r="B1567" t="s">
        <v>259</v>
      </c>
      <c r="C1567">
        <v>27019</v>
      </c>
      <c r="D1567" t="s">
        <v>271</v>
      </c>
      <c r="E1567" t="s">
        <v>261</v>
      </c>
      <c r="F1567" t="s">
        <v>270</v>
      </c>
      <c r="G1567" t="s">
        <v>263</v>
      </c>
      <c r="H1567">
        <v>16928.8797511993</v>
      </c>
      <c r="I1567" t="s">
        <v>264</v>
      </c>
      <c r="J1567" t="s">
        <v>265</v>
      </c>
      <c r="K1567">
        <v>103605</v>
      </c>
      <c r="L1567" t="s">
        <v>282</v>
      </c>
      <c r="M1567">
        <v>0.16</v>
      </c>
    </row>
    <row r="1568" spans="1:13" x14ac:dyDescent="0.25">
      <c r="A1568">
        <v>2018</v>
      </c>
      <c r="B1568" t="s">
        <v>259</v>
      </c>
      <c r="C1568">
        <v>27019</v>
      </c>
      <c r="D1568" t="s">
        <v>271</v>
      </c>
      <c r="E1568" t="s">
        <v>261</v>
      </c>
      <c r="F1568" t="s">
        <v>270</v>
      </c>
      <c r="G1568" t="s">
        <v>267</v>
      </c>
      <c r="H1568">
        <v>88532.113713377898</v>
      </c>
      <c r="I1568" t="s">
        <v>264</v>
      </c>
      <c r="J1568" t="s">
        <v>265</v>
      </c>
      <c r="K1568">
        <v>103605</v>
      </c>
      <c r="L1568" t="s">
        <v>282</v>
      </c>
      <c r="M1568">
        <v>0.85</v>
      </c>
    </row>
    <row r="1569" spans="1:13" x14ac:dyDescent="0.25">
      <c r="A1569">
        <v>2018</v>
      </c>
      <c r="B1569" t="s">
        <v>259</v>
      </c>
      <c r="C1569">
        <v>27019</v>
      </c>
      <c r="D1569" t="s">
        <v>271</v>
      </c>
      <c r="E1569" t="s">
        <v>261</v>
      </c>
      <c r="F1569" t="s">
        <v>270</v>
      </c>
      <c r="G1569" t="s">
        <v>269</v>
      </c>
      <c r="H1569">
        <v>126.042803088792</v>
      </c>
      <c r="I1569" t="s">
        <v>264</v>
      </c>
      <c r="J1569" t="s">
        <v>265</v>
      </c>
      <c r="K1569">
        <v>103605</v>
      </c>
      <c r="L1569" t="s">
        <v>282</v>
      </c>
      <c r="M1569">
        <v>0</v>
      </c>
    </row>
    <row r="1570" spans="1:13" x14ac:dyDescent="0.25">
      <c r="A1570">
        <v>2018</v>
      </c>
      <c r="B1570" t="s">
        <v>259</v>
      </c>
      <c r="C1570">
        <v>27025</v>
      </c>
      <c r="D1570" t="s">
        <v>272</v>
      </c>
      <c r="E1570" t="s">
        <v>261</v>
      </c>
      <c r="F1570" t="s">
        <v>262</v>
      </c>
      <c r="G1570" t="s">
        <v>263</v>
      </c>
      <c r="H1570">
        <v>275875.72592322202</v>
      </c>
      <c r="I1570" t="s">
        <v>264</v>
      </c>
      <c r="J1570" t="s">
        <v>265</v>
      </c>
      <c r="K1570">
        <v>55980</v>
      </c>
      <c r="L1570" t="s">
        <v>282</v>
      </c>
      <c r="M1570">
        <v>4.93</v>
      </c>
    </row>
    <row r="1571" spans="1:13" x14ac:dyDescent="0.25">
      <c r="A1571">
        <v>2018</v>
      </c>
      <c r="B1571" t="s">
        <v>259</v>
      </c>
      <c r="C1571">
        <v>27025</v>
      </c>
      <c r="D1571" t="s">
        <v>272</v>
      </c>
      <c r="E1571" t="s">
        <v>261</v>
      </c>
      <c r="F1571" t="s">
        <v>262</v>
      </c>
      <c r="G1571" t="s">
        <v>267</v>
      </c>
      <c r="H1571">
        <v>13558.480797915099</v>
      </c>
      <c r="I1571" t="s">
        <v>264</v>
      </c>
      <c r="J1571" t="s">
        <v>265</v>
      </c>
      <c r="K1571">
        <v>55980</v>
      </c>
      <c r="L1571" t="s">
        <v>282</v>
      </c>
      <c r="M1571">
        <v>0.24</v>
      </c>
    </row>
    <row r="1572" spans="1:13" x14ac:dyDescent="0.25">
      <c r="A1572">
        <v>2018</v>
      </c>
      <c r="B1572" t="s">
        <v>259</v>
      </c>
      <c r="C1572">
        <v>27025</v>
      </c>
      <c r="D1572" t="s">
        <v>272</v>
      </c>
      <c r="E1572" t="s">
        <v>261</v>
      </c>
      <c r="F1572" t="s">
        <v>262</v>
      </c>
      <c r="G1572" t="s">
        <v>269</v>
      </c>
      <c r="H1572">
        <v>625.48921502046903</v>
      </c>
      <c r="I1572" t="s">
        <v>264</v>
      </c>
      <c r="J1572" t="s">
        <v>265</v>
      </c>
      <c r="K1572">
        <v>55980</v>
      </c>
      <c r="L1572" t="s">
        <v>282</v>
      </c>
      <c r="M1572">
        <v>0.01</v>
      </c>
    </row>
    <row r="1573" spans="1:13" x14ac:dyDescent="0.25">
      <c r="A1573">
        <v>2018</v>
      </c>
      <c r="B1573" t="s">
        <v>259</v>
      </c>
      <c r="C1573">
        <v>27025</v>
      </c>
      <c r="D1573" t="s">
        <v>272</v>
      </c>
      <c r="E1573" t="s">
        <v>261</v>
      </c>
      <c r="F1573" t="s">
        <v>268</v>
      </c>
      <c r="G1573" t="s">
        <v>263</v>
      </c>
      <c r="H1573">
        <v>468.79881120461198</v>
      </c>
      <c r="I1573" t="s">
        <v>264</v>
      </c>
      <c r="J1573" t="s">
        <v>265</v>
      </c>
      <c r="K1573">
        <v>55980</v>
      </c>
      <c r="L1573" t="s">
        <v>282</v>
      </c>
      <c r="M1573">
        <v>0.01</v>
      </c>
    </row>
    <row r="1574" spans="1:13" x14ac:dyDescent="0.25">
      <c r="A1574">
        <v>2018</v>
      </c>
      <c r="B1574" t="s">
        <v>259</v>
      </c>
      <c r="C1574">
        <v>27025</v>
      </c>
      <c r="D1574" t="s">
        <v>272</v>
      </c>
      <c r="E1574" t="s">
        <v>261</v>
      </c>
      <c r="F1574" t="s">
        <v>268</v>
      </c>
      <c r="G1574" t="s">
        <v>267</v>
      </c>
      <c r="H1574">
        <v>3682.0791524320498</v>
      </c>
      <c r="I1574" t="s">
        <v>264</v>
      </c>
      <c r="J1574" t="s">
        <v>265</v>
      </c>
      <c r="K1574">
        <v>55980</v>
      </c>
      <c r="L1574" t="s">
        <v>282</v>
      </c>
      <c r="M1574">
        <v>7.0000000000000007E-2</v>
      </c>
    </row>
    <row r="1575" spans="1:13" x14ac:dyDescent="0.25">
      <c r="A1575">
        <v>2018</v>
      </c>
      <c r="B1575" t="s">
        <v>259</v>
      </c>
      <c r="C1575">
        <v>27025</v>
      </c>
      <c r="D1575" t="s">
        <v>272</v>
      </c>
      <c r="E1575" t="s">
        <v>261</v>
      </c>
      <c r="F1575" t="s">
        <v>268</v>
      </c>
      <c r="G1575" t="s">
        <v>269</v>
      </c>
      <c r="H1575">
        <v>87.131127602316795</v>
      </c>
      <c r="I1575" t="s">
        <v>264</v>
      </c>
      <c r="J1575" t="s">
        <v>265</v>
      </c>
      <c r="K1575">
        <v>55980</v>
      </c>
      <c r="L1575" t="s">
        <v>282</v>
      </c>
      <c r="M1575">
        <v>0</v>
      </c>
    </row>
    <row r="1576" spans="1:13" x14ac:dyDescent="0.25">
      <c r="A1576">
        <v>2018</v>
      </c>
      <c r="B1576" t="s">
        <v>259</v>
      </c>
      <c r="C1576">
        <v>27025</v>
      </c>
      <c r="D1576" t="s">
        <v>272</v>
      </c>
      <c r="E1576" t="s">
        <v>261</v>
      </c>
      <c r="F1576" t="s">
        <v>270</v>
      </c>
      <c r="G1576" t="s">
        <v>263</v>
      </c>
      <c r="H1576">
        <v>12425.270050585999</v>
      </c>
      <c r="I1576" t="s">
        <v>264</v>
      </c>
      <c r="J1576" t="s">
        <v>265</v>
      </c>
      <c r="K1576">
        <v>55980</v>
      </c>
      <c r="L1576" t="s">
        <v>282</v>
      </c>
      <c r="M1576">
        <v>0.22</v>
      </c>
    </row>
    <row r="1577" spans="1:13" x14ac:dyDescent="0.25">
      <c r="A1577">
        <v>2018</v>
      </c>
      <c r="B1577" t="s">
        <v>259</v>
      </c>
      <c r="C1577">
        <v>27025</v>
      </c>
      <c r="D1577" t="s">
        <v>272</v>
      </c>
      <c r="E1577" t="s">
        <v>261</v>
      </c>
      <c r="F1577" t="s">
        <v>270</v>
      </c>
      <c r="G1577" t="s">
        <v>267</v>
      </c>
      <c r="H1577">
        <v>79890.406865110999</v>
      </c>
      <c r="I1577" t="s">
        <v>264</v>
      </c>
      <c r="J1577" t="s">
        <v>265</v>
      </c>
      <c r="K1577">
        <v>55980</v>
      </c>
      <c r="L1577" t="s">
        <v>282</v>
      </c>
      <c r="M1577">
        <v>1.43</v>
      </c>
    </row>
    <row r="1578" spans="1:13" x14ac:dyDescent="0.25">
      <c r="A1578">
        <v>2018</v>
      </c>
      <c r="B1578" t="s">
        <v>259</v>
      </c>
      <c r="C1578">
        <v>27025</v>
      </c>
      <c r="D1578" t="s">
        <v>272</v>
      </c>
      <c r="E1578" t="s">
        <v>261</v>
      </c>
      <c r="F1578" t="s">
        <v>270</v>
      </c>
      <c r="G1578" t="s">
        <v>269</v>
      </c>
      <c r="H1578">
        <v>42.725963624164102</v>
      </c>
      <c r="I1578" t="s">
        <v>264</v>
      </c>
      <c r="J1578" t="s">
        <v>265</v>
      </c>
      <c r="K1578">
        <v>55980</v>
      </c>
      <c r="L1578" t="s">
        <v>282</v>
      </c>
      <c r="M1578">
        <v>0</v>
      </c>
    </row>
    <row r="1579" spans="1:13" x14ac:dyDescent="0.25">
      <c r="A1579">
        <v>2018</v>
      </c>
      <c r="B1579" t="s">
        <v>259</v>
      </c>
      <c r="C1579">
        <v>27037</v>
      </c>
      <c r="D1579" t="s">
        <v>273</v>
      </c>
      <c r="E1579" t="s">
        <v>261</v>
      </c>
      <c r="F1579" t="s">
        <v>262</v>
      </c>
      <c r="G1579" t="s">
        <v>263</v>
      </c>
      <c r="H1579">
        <v>1349578.2931043999</v>
      </c>
      <c r="I1579" t="s">
        <v>264</v>
      </c>
      <c r="J1579" t="s">
        <v>265</v>
      </c>
      <c r="K1579">
        <v>425472</v>
      </c>
      <c r="L1579" t="s">
        <v>282</v>
      </c>
      <c r="M1579">
        <v>3.17</v>
      </c>
    </row>
    <row r="1580" spans="1:13" x14ac:dyDescent="0.25">
      <c r="A1580">
        <v>2018</v>
      </c>
      <c r="B1580" t="s">
        <v>259</v>
      </c>
      <c r="C1580">
        <v>27037</v>
      </c>
      <c r="D1580" t="s">
        <v>273</v>
      </c>
      <c r="E1580" t="s">
        <v>261</v>
      </c>
      <c r="F1580" t="s">
        <v>262</v>
      </c>
      <c r="G1580" t="s">
        <v>267</v>
      </c>
      <c r="H1580">
        <v>20607.4475990754</v>
      </c>
      <c r="I1580" t="s">
        <v>264</v>
      </c>
      <c r="J1580" t="s">
        <v>265</v>
      </c>
      <c r="K1580">
        <v>425472</v>
      </c>
      <c r="L1580" t="s">
        <v>282</v>
      </c>
      <c r="M1580">
        <v>0.05</v>
      </c>
    </row>
    <row r="1581" spans="1:13" x14ac:dyDescent="0.25">
      <c r="A1581">
        <v>2018</v>
      </c>
      <c r="B1581" t="s">
        <v>259</v>
      </c>
      <c r="C1581">
        <v>27037</v>
      </c>
      <c r="D1581" t="s">
        <v>273</v>
      </c>
      <c r="E1581" t="s">
        <v>261</v>
      </c>
      <c r="F1581" t="s">
        <v>262</v>
      </c>
      <c r="G1581" t="s">
        <v>269</v>
      </c>
      <c r="H1581">
        <v>2295.7750025596301</v>
      </c>
      <c r="I1581" t="s">
        <v>264</v>
      </c>
      <c r="J1581" t="s">
        <v>265</v>
      </c>
      <c r="K1581">
        <v>425472</v>
      </c>
      <c r="L1581" t="s">
        <v>282</v>
      </c>
      <c r="M1581">
        <v>0.01</v>
      </c>
    </row>
    <row r="1582" spans="1:13" x14ac:dyDescent="0.25">
      <c r="A1582">
        <v>2018</v>
      </c>
      <c r="B1582" t="s">
        <v>259</v>
      </c>
      <c r="C1582">
        <v>27037</v>
      </c>
      <c r="D1582" t="s">
        <v>273</v>
      </c>
      <c r="E1582" t="s">
        <v>261</v>
      </c>
      <c r="F1582" t="s">
        <v>268</v>
      </c>
      <c r="G1582" t="s">
        <v>263</v>
      </c>
      <c r="H1582">
        <v>2451.7570345169001</v>
      </c>
      <c r="I1582" t="s">
        <v>264</v>
      </c>
      <c r="J1582" t="s">
        <v>265</v>
      </c>
      <c r="K1582">
        <v>425472</v>
      </c>
      <c r="L1582" t="s">
        <v>282</v>
      </c>
      <c r="M1582">
        <v>0.01</v>
      </c>
    </row>
    <row r="1583" spans="1:13" x14ac:dyDescent="0.25">
      <c r="A1583">
        <v>2018</v>
      </c>
      <c r="B1583" t="s">
        <v>259</v>
      </c>
      <c r="C1583">
        <v>27037</v>
      </c>
      <c r="D1583" t="s">
        <v>273</v>
      </c>
      <c r="E1583" t="s">
        <v>261</v>
      </c>
      <c r="F1583" t="s">
        <v>268</v>
      </c>
      <c r="G1583" t="s">
        <v>267</v>
      </c>
      <c r="H1583">
        <v>18886.946271096302</v>
      </c>
      <c r="I1583" t="s">
        <v>264</v>
      </c>
      <c r="J1583" t="s">
        <v>265</v>
      </c>
      <c r="K1583">
        <v>425472</v>
      </c>
      <c r="L1583" t="s">
        <v>282</v>
      </c>
      <c r="M1583">
        <v>0.04</v>
      </c>
    </row>
    <row r="1584" spans="1:13" x14ac:dyDescent="0.25">
      <c r="A1584">
        <v>2018</v>
      </c>
      <c r="B1584" t="s">
        <v>259</v>
      </c>
      <c r="C1584">
        <v>27037</v>
      </c>
      <c r="D1584" t="s">
        <v>273</v>
      </c>
      <c r="E1584" t="s">
        <v>261</v>
      </c>
      <c r="F1584" t="s">
        <v>268</v>
      </c>
      <c r="G1584" t="s">
        <v>269</v>
      </c>
      <c r="H1584">
        <v>28.153330097316498</v>
      </c>
      <c r="I1584" t="s">
        <v>264</v>
      </c>
      <c r="J1584" t="s">
        <v>265</v>
      </c>
      <c r="K1584">
        <v>425472</v>
      </c>
      <c r="L1584" t="s">
        <v>282</v>
      </c>
      <c r="M1584">
        <v>0</v>
      </c>
    </row>
    <row r="1585" spans="1:13" x14ac:dyDescent="0.25">
      <c r="A1585">
        <v>2018</v>
      </c>
      <c r="B1585" t="s">
        <v>259</v>
      </c>
      <c r="C1585">
        <v>27037</v>
      </c>
      <c r="D1585" t="s">
        <v>273</v>
      </c>
      <c r="E1585" t="s">
        <v>261</v>
      </c>
      <c r="F1585" t="s">
        <v>270</v>
      </c>
      <c r="G1585" t="s">
        <v>263</v>
      </c>
      <c r="H1585">
        <v>81383.371856447498</v>
      </c>
      <c r="I1585" t="s">
        <v>264</v>
      </c>
      <c r="J1585" t="s">
        <v>265</v>
      </c>
      <c r="K1585">
        <v>425472</v>
      </c>
      <c r="L1585" t="s">
        <v>282</v>
      </c>
      <c r="M1585">
        <v>0.19</v>
      </c>
    </row>
    <row r="1586" spans="1:13" x14ac:dyDescent="0.25">
      <c r="A1586">
        <v>2018</v>
      </c>
      <c r="B1586" t="s">
        <v>259</v>
      </c>
      <c r="C1586">
        <v>27037</v>
      </c>
      <c r="D1586" t="s">
        <v>273</v>
      </c>
      <c r="E1586" t="s">
        <v>261</v>
      </c>
      <c r="F1586" t="s">
        <v>270</v>
      </c>
      <c r="G1586" t="s">
        <v>267</v>
      </c>
      <c r="H1586">
        <v>408991.26394246198</v>
      </c>
      <c r="I1586" t="s">
        <v>264</v>
      </c>
      <c r="J1586" t="s">
        <v>265</v>
      </c>
      <c r="K1586">
        <v>425472</v>
      </c>
      <c r="L1586" t="s">
        <v>282</v>
      </c>
      <c r="M1586">
        <v>0.96</v>
      </c>
    </row>
    <row r="1587" spans="1:13" x14ac:dyDescent="0.25">
      <c r="A1587">
        <v>2018</v>
      </c>
      <c r="B1587" t="s">
        <v>259</v>
      </c>
      <c r="C1587">
        <v>27037</v>
      </c>
      <c r="D1587" t="s">
        <v>273</v>
      </c>
      <c r="E1587" t="s">
        <v>261</v>
      </c>
      <c r="F1587" t="s">
        <v>270</v>
      </c>
      <c r="G1587" t="s">
        <v>269</v>
      </c>
      <c r="H1587">
        <v>227.44919949654599</v>
      </c>
      <c r="I1587" t="s">
        <v>264</v>
      </c>
      <c r="J1587" t="s">
        <v>265</v>
      </c>
      <c r="K1587">
        <v>425472</v>
      </c>
      <c r="L1587" t="s">
        <v>282</v>
      </c>
      <c r="M1587">
        <v>0</v>
      </c>
    </row>
    <row r="1588" spans="1:13" x14ac:dyDescent="0.25">
      <c r="A1588">
        <v>2018</v>
      </c>
      <c r="B1588" t="s">
        <v>259</v>
      </c>
      <c r="C1588">
        <v>27053</v>
      </c>
      <c r="D1588" t="s">
        <v>274</v>
      </c>
      <c r="E1588" t="s">
        <v>261</v>
      </c>
      <c r="F1588" t="s">
        <v>262</v>
      </c>
      <c r="G1588" t="s">
        <v>263</v>
      </c>
      <c r="H1588">
        <v>3655446.4711274402</v>
      </c>
      <c r="I1588" t="s">
        <v>264</v>
      </c>
      <c r="J1588" t="s">
        <v>265</v>
      </c>
      <c r="K1588">
        <v>1258021</v>
      </c>
      <c r="L1588" t="s">
        <v>282</v>
      </c>
      <c r="M1588">
        <v>2.91</v>
      </c>
    </row>
    <row r="1589" spans="1:13" x14ac:dyDescent="0.25">
      <c r="A1589">
        <v>2018</v>
      </c>
      <c r="B1589" t="s">
        <v>259</v>
      </c>
      <c r="C1589">
        <v>27053</v>
      </c>
      <c r="D1589" t="s">
        <v>274</v>
      </c>
      <c r="E1589" t="s">
        <v>261</v>
      </c>
      <c r="F1589" t="s">
        <v>262</v>
      </c>
      <c r="G1589" t="s">
        <v>267</v>
      </c>
      <c r="H1589">
        <v>40401.825136533502</v>
      </c>
      <c r="I1589" t="s">
        <v>264</v>
      </c>
      <c r="J1589" t="s">
        <v>265</v>
      </c>
      <c r="K1589">
        <v>1258021</v>
      </c>
      <c r="L1589" t="s">
        <v>282</v>
      </c>
      <c r="M1589">
        <v>0.03</v>
      </c>
    </row>
    <row r="1590" spans="1:13" x14ac:dyDescent="0.25">
      <c r="A1590">
        <v>2018</v>
      </c>
      <c r="B1590" t="s">
        <v>259</v>
      </c>
      <c r="C1590">
        <v>27053</v>
      </c>
      <c r="D1590" t="s">
        <v>274</v>
      </c>
      <c r="E1590" t="s">
        <v>261</v>
      </c>
      <c r="F1590" t="s">
        <v>262</v>
      </c>
      <c r="G1590" t="s">
        <v>269</v>
      </c>
      <c r="H1590">
        <v>5104.6308092621703</v>
      </c>
      <c r="I1590" t="s">
        <v>264</v>
      </c>
      <c r="J1590" t="s">
        <v>265</v>
      </c>
      <c r="K1590">
        <v>1258021</v>
      </c>
      <c r="L1590" t="s">
        <v>282</v>
      </c>
      <c r="M1590">
        <v>0</v>
      </c>
    </row>
    <row r="1591" spans="1:13" x14ac:dyDescent="0.25">
      <c r="A1591">
        <v>2018</v>
      </c>
      <c r="B1591" t="s">
        <v>259</v>
      </c>
      <c r="C1591">
        <v>27053</v>
      </c>
      <c r="D1591" t="s">
        <v>274</v>
      </c>
      <c r="E1591" t="s">
        <v>261</v>
      </c>
      <c r="F1591" t="s">
        <v>268</v>
      </c>
      <c r="G1591" t="s">
        <v>263</v>
      </c>
      <c r="H1591">
        <v>8574.90262580331</v>
      </c>
      <c r="I1591" t="s">
        <v>264</v>
      </c>
      <c r="J1591" t="s">
        <v>265</v>
      </c>
      <c r="K1591">
        <v>1258021</v>
      </c>
      <c r="L1591" t="s">
        <v>282</v>
      </c>
      <c r="M1591">
        <v>0.01</v>
      </c>
    </row>
    <row r="1592" spans="1:13" x14ac:dyDescent="0.25">
      <c r="A1592">
        <v>2018</v>
      </c>
      <c r="B1592" t="s">
        <v>259</v>
      </c>
      <c r="C1592">
        <v>27053</v>
      </c>
      <c r="D1592" t="s">
        <v>274</v>
      </c>
      <c r="E1592" t="s">
        <v>261</v>
      </c>
      <c r="F1592" t="s">
        <v>268</v>
      </c>
      <c r="G1592" t="s">
        <v>267</v>
      </c>
      <c r="H1592">
        <v>52781.925795464798</v>
      </c>
      <c r="I1592" t="s">
        <v>264</v>
      </c>
      <c r="J1592" t="s">
        <v>265</v>
      </c>
      <c r="K1592">
        <v>1258021</v>
      </c>
      <c r="L1592" t="s">
        <v>282</v>
      </c>
      <c r="M1592">
        <v>0.04</v>
      </c>
    </row>
    <row r="1593" spans="1:13" x14ac:dyDescent="0.25">
      <c r="A1593">
        <v>2018</v>
      </c>
      <c r="B1593" t="s">
        <v>259</v>
      </c>
      <c r="C1593">
        <v>27053</v>
      </c>
      <c r="D1593" t="s">
        <v>274</v>
      </c>
      <c r="E1593" t="s">
        <v>261</v>
      </c>
      <c r="F1593" t="s">
        <v>268</v>
      </c>
      <c r="G1593" t="s">
        <v>269</v>
      </c>
      <c r="H1593">
        <v>8.5213443054500099E-2</v>
      </c>
      <c r="I1593" t="s">
        <v>264</v>
      </c>
      <c r="J1593" t="s">
        <v>265</v>
      </c>
      <c r="K1593">
        <v>1258021</v>
      </c>
      <c r="L1593" t="s">
        <v>282</v>
      </c>
      <c r="M1593">
        <v>0</v>
      </c>
    </row>
    <row r="1594" spans="1:13" x14ac:dyDescent="0.25">
      <c r="A1594">
        <v>2018</v>
      </c>
      <c r="B1594" t="s">
        <v>259</v>
      </c>
      <c r="C1594">
        <v>27053</v>
      </c>
      <c r="D1594" t="s">
        <v>274</v>
      </c>
      <c r="E1594" t="s">
        <v>261</v>
      </c>
      <c r="F1594" t="s">
        <v>270</v>
      </c>
      <c r="G1594" t="s">
        <v>263</v>
      </c>
      <c r="H1594">
        <v>340142.61037269997</v>
      </c>
      <c r="I1594" t="s">
        <v>264</v>
      </c>
      <c r="J1594" t="s">
        <v>265</v>
      </c>
      <c r="K1594">
        <v>1258021</v>
      </c>
      <c r="L1594" t="s">
        <v>282</v>
      </c>
      <c r="M1594">
        <v>0.27</v>
      </c>
    </row>
    <row r="1595" spans="1:13" x14ac:dyDescent="0.25">
      <c r="A1595">
        <v>2018</v>
      </c>
      <c r="B1595" t="s">
        <v>259</v>
      </c>
      <c r="C1595">
        <v>27053</v>
      </c>
      <c r="D1595" t="s">
        <v>274</v>
      </c>
      <c r="E1595" t="s">
        <v>261</v>
      </c>
      <c r="F1595" t="s">
        <v>270</v>
      </c>
      <c r="G1595" t="s">
        <v>267</v>
      </c>
      <c r="H1595">
        <v>1089377.6671343599</v>
      </c>
      <c r="I1595" t="s">
        <v>264</v>
      </c>
      <c r="J1595" t="s">
        <v>265</v>
      </c>
      <c r="K1595">
        <v>1258021</v>
      </c>
      <c r="L1595" t="s">
        <v>282</v>
      </c>
      <c r="M1595">
        <v>0.87</v>
      </c>
    </row>
    <row r="1596" spans="1:13" x14ac:dyDescent="0.25">
      <c r="A1596">
        <v>2018</v>
      </c>
      <c r="B1596" t="s">
        <v>259</v>
      </c>
      <c r="C1596">
        <v>27053</v>
      </c>
      <c r="D1596" t="s">
        <v>274</v>
      </c>
      <c r="E1596" t="s">
        <v>261</v>
      </c>
      <c r="F1596" t="s">
        <v>270</v>
      </c>
      <c r="G1596" t="s">
        <v>269</v>
      </c>
      <c r="H1596">
        <v>803.47550929571696</v>
      </c>
      <c r="I1596" t="s">
        <v>264</v>
      </c>
      <c r="J1596" t="s">
        <v>265</v>
      </c>
      <c r="K1596">
        <v>1258021</v>
      </c>
      <c r="L1596" t="s">
        <v>282</v>
      </c>
      <c r="M1596">
        <v>0</v>
      </c>
    </row>
    <row r="1597" spans="1:13" x14ac:dyDescent="0.25">
      <c r="A1597">
        <v>2018</v>
      </c>
      <c r="B1597" t="s">
        <v>259</v>
      </c>
      <c r="C1597">
        <v>27123</v>
      </c>
      <c r="D1597" t="s">
        <v>275</v>
      </c>
      <c r="E1597" t="s">
        <v>261</v>
      </c>
      <c r="F1597" t="s">
        <v>262</v>
      </c>
      <c r="G1597" t="s">
        <v>263</v>
      </c>
      <c r="H1597">
        <v>1546678.06572454</v>
      </c>
      <c r="I1597" t="s">
        <v>264</v>
      </c>
      <c r="J1597" t="s">
        <v>265</v>
      </c>
      <c r="K1597">
        <v>548900</v>
      </c>
      <c r="L1597" t="s">
        <v>282</v>
      </c>
      <c r="M1597">
        <v>2.82</v>
      </c>
    </row>
    <row r="1598" spans="1:13" x14ac:dyDescent="0.25">
      <c r="A1598">
        <v>2018</v>
      </c>
      <c r="B1598" t="s">
        <v>259</v>
      </c>
      <c r="C1598">
        <v>27123</v>
      </c>
      <c r="D1598" t="s">
        <v>275</v>
      </c>
      <c r="E1598" t="s">
        <v>261</v>
      </c>
      <c r="F1598" t="s">
        <v>262</v>
      </c>
      <c r="G1598" t="s">
        <v>267</v>
      </c>
      <c r="H1598">
        <v>16284.4433199049</v>
      </c>
      <c r="I1598" t="s">
        <v>264</v>
      </c>
      <c r="J1598" t="s">
        <v>265</v>
      </c>
      <c r="K1598">
        <v>548900</v>
      </c>
      <c r="L1598" t="s">
        <v>282</v>
      </c>
      <c r="M1598">
        <v>0.03</v>
      </c>
    </row>
    <row r="1599" spans="1:13" x14ac:dyDescent="0.25">
      <c r="A1599">
        <v>2018</v>
      </c>
      <c r="B1599" t="s">
        <v>259</v>
      </c>
      <c r="C1599">
        <v>27123</v>
      </c>
      <c r="D1599" t="s">
        <v>275</v>
      </c>
      <c r="E1599" t="s">
        <v>261</v>
      </c>
      <c r="F1599" t="s">
        <v>262</v>
      </c>
      <c r="G1599" t="s">
        <v>269</v>
      </c>
      <c r="H1599">
        <v>2018.01081791723</v>
      </c>
      <c r="I1599" t="s">
        <v>264</v>
      </c>
      <c r="J1599" t="s">
        <v>265</v>
      </c>
      <c r="K1599">
        <v>548900</v>
      </c>
      <c r="L1599" t="s">
        <v>282</v>
      </c>
      <c r="M1599">
        <v>0</v>
      </c>
    </row>
    <row r="1600" spans="1:13" x14ac:dyDescent="0.25">
      <c r="A1600">
        <v>2018</v>
      </c>
      <c r="B1600" t="s">
        <v>259</v>
      </c>
      <c r="C1600">
        <v>27123</v>
      </c>
      <c r="D1600" t="s">
        <v>275</v>
      </c>
      <c r="E1600" t="s">
        <v>261</v>
      </c>
      <c r="F1600" t="s">
        <v>268</v>
      </c>
      <c r="G1600" t="s">
        <v>263</v>
      </c>
      <c r="H1600">
        <v>3679.3154854814602</v>
      </c>
      <c r="I1600" t="s">
        <v>264</v>
      </c>
      <c r="J1600" t="s">
        <v>265</v>
      </c>
      <c r="K1600">
        <v>548900</v>
      </c>
      <c r="L1600" t="s">
        <v>282</v>
      </c>
      <c r="M1600">
        <v>0.01</v>
      </c>
    </row>
    <row r="1601" spans="1:13" x14ac:dyDescent="0.25">
      <c r="A1601">
        <v>2018</v>
      </c>
      <c r="B1601" t="s">
        <v>259</v>
      </c>
      <c r="C1601">
        <v>27123</v>
      </c>
      <c r="D1601" t="s">
        <v>275</v>
      </c>
      <c r="E1601" t="s">
        <v>261</v>
      </c>
      <c r="F1601" t="s">
        <v>268</v>
      </c>
      <c r="G1601" t="s">
        <v>267</v>
      </c>
      <c r="H1601">
        <v>20545.483124714701</v>
      </c>
      <c r="I1601" t="s">
        <v>264</v>
      </c>
      <c r="J1601" t="s">
        <v>265</v>
      </c>
      <c r="K1601">
        <v>548900</v>
      </c>
      <c r="L1601" t="s">
        <v>282</v>
      </c>
      <c r="M1601">
        <v>0.04</v>
      </c>
    </row>
    <row r="1602" spans="1:13" x14ac:dyDescent="0.25">
      <c r="A1602">
        <v>2018</v>
      </c>
      <c r="B1602" t="s">
        <v>259</v>
      </c>
      <c r="C1602">
        <v>27123</v>
      </c>
      <c r="D1602" t="s">
        <v>275</v>
      </c>
      <c r="E1602" t="s">
        <v>261</v>
      </c>
      <c r="F1602" t="s">
        <v>268</v>
      </c>
      <c r="G1602" t="s">
        <v>269</v>
      </c>
      <c r="H1602">
        <v>102.198186181669</v>
      </c>
      <c r="I1602" t="s">
        <v>264</v>
      </c>
      <c r="J1602" t="s">
        <v>265</v>
      </c>
      <c r="K1602">
        <v>548900</v>
      </c>
      <c r="L1602" t="s">
        <v>282</v>
      </c>
      <c r="M1602">
        <v>0</v>
      </c>
    </row>
    <row r="1603" spans="1:13" x14ac:dyDescent="0.25">
      <c r="A1603">
        <v>2018</v>
      </c>
      <c r="B1603" t="s">
        <v>259</v>
      </c>
      <c r="C1603">
        <v>27123</v>
      </c>
      <c r="D1603" t="s">
        <v>275</v>
      </c>
      <c r="E1603" t="s">
        <v>261</v>
      </c>
      <c r="F1603" t="s">
        <v>270</v>
      </c>
      <c r="G1603" t="s">
        <v>263</v>
      </c>
      <c r="H1603">
        <v>132842.50430864899</v>
      </c>
      <c r="I1603" t="s">
        <v>264</v>
      </c>
      <c r="J1603" t="s">
        <v>265</v>
      </c>
      <c r="K1603">
        <v>548900</v>
      </c>
      <c r="L1603" t="s">
        <v>282</v>
      </c>
      <c r="M1603">
        <v>0.24</v>
      </c>
    </row>
    <row r="1604" spans="1:13" x14ac:dyDescent="0.25">
      <c r="A1604">
        <v>2018</v>
      </c>
      <c r="B1604" t="s">
        <v>259</v>
      </c>
      <c r="C1604">
        <v>27123</v>
      </c>
      <c r="D1604" t="s">
        <v>275</v>
      </c>
      <c r="E1604" t="s">
        <v>261</v>
      </c>
      <c r="F1604" t="s">
        <v>270</v>
      </c>
      <c r="G1604" t="s">
        <v>267</v>
      </c>
      <c r="H1604">
        <v>462349.04900999501</v>
      </c>
      <c r="I1604" t="s">
        <v>264</v>
      </c>
      <c r="J1604" t="s">
        <v>265</v>
      </c>
      <c r="K1604">
        <v>548900</v>
      </c>
      <c r="L1604" t="s">
        <v>282</v>
      </c>
      <c r="M1604">
        <v>0.84</v>
      </c>
    </row>
    <row r="1605" spans="1:13" x14ac:dyDescent="0.25">
      <c r="A1605">
        <v>2018</v>
      </c>
      <c r="B1605" t="s">
        <v>259</v>
      </c>
      <c r="C1605">
        <v>27123</v>
      </c>
      <c r="D1605" t="s">
        <v>275</v>
      </c>
      <c r="E1605" t="s">
        <v>261</v>
      </c>
      <c r="F1605" t="s">
        <v>270</v>
      </c>
      <c r="G1605" t="s">
        <v>269</v>
      </c>
      <c r="H1605">
        <v>383.09041568717601</v>
      </c>
      <c r="I1605" t="s">
        <v>264</v>
      </c>
      <c r="J1605" t="s">
        <v>265</v>
      </c>
      <c r="K1605">
        <v>548900</v>
      </c>
      <c r="L1605" t="s">
        <v>282</v>
      </c>
      <c r="M1605">
        <v>0</v>
      </c>
    </row>
    <row r="1606" spans="1:13" x14ac:dyDescent="0.25">
      <c r="A1606">
        <v>2018</v>
      </c>
      <c r="B1606" t="s">
        <v>259</v>
      </c>
      <c r="C1606">
        <v>27139</v>
      </c>
      <c r="D1606" t="s">
        <v>276</v>
      </c>
      <c r="E1606" t="s">
        <v>261</v>
      </c>
      <c r="F1606" t="s">
        <v>262</v>
      </c>
      <c r="G1606" t="s">
        <v>263</v>
      </c>
      <c r="H1606">
        <v>449534.91745253903</v>
      </c>
      <c r="I1606" t="s">
        <v>264</v>
      </c>
      <c r="J1606" t="s">
        <v>265</v>
      </c>
      <c r="K1606">
        <v>147339</v>
      </c>
      <c r="L1606" t="s">
        <v>282</v>
      </c>
      <c r="M1606">
        <v>3.05</v>
      </c>
    </row>
    <row r="1607" spans="1:13" x14ac:dyDescent="0.25">
      <c r="A1607">
        <v>2018</v>
      </c>
      <c r="B1607" t="s">
        <v>259</v>
      </c>
      <c r="C1607">
        <v>27139</v>
      </c>
      <c r="D1607" t="s">
        <v>276</v>
      </c>
      <c r="E1607" t="s">
        <v>261</v>
      </c>
      <c r="F1607" t="s">
        <v>262</v>
      </c>
      <c r="G1607" t="s">
        <v>267</v>
      </c>
      <c r="H1607">
        <v>11250.4318694782</v>
      </c>
      <c r="I1607" t="s">
        <v>264</v>
      </c>
      <c r="J1607" t="s">
        <v>265</v>
      </c>
      <c r="K1607">
        <v>147339</v>
      </c>
      <c r="L1607" t="s">
        <v>282</v>
      </c>
      <c r="M1607">
        <v>0.08</v>
      </c>
    </row>
    <row r="1608" spans="1:13" x14ac:dyDescent="0.25">
      <c r="A1608">
        <v>2018</v>
      </c>
      <c r="B1608" t="s">
        <v>259</v>
      </c>
      <c r="C1608">
        <v>27139</v>
      </c>
      <c r="D1608" t="s">
        <v>276</v>
      </c>
      <c r="E1608" t="s">
        <v>261</v>
      </c>
      <c r="F1608" t="s">
        <v>262</v>
      </c>
      <c r="G1608" t="s">
        <v>269</v>
      </c>
      <c r="H1608">
        <v>874.21208437350504</v>
      </c>
      <c r="I1608" t="s">
        <v>264</v>
      </c>
      <c r="J1608" t="s">
        <v>265</v>
      </c>
      <c r="K1608">
        <v>147339</v>
      </c>
      <c r="L1608" t="s">
        <v>282</v>
      </c>
      <c r="M1608">
        <v>0.01</v>
      </c>
    </row>
    <row r="1609" spans="1:13" x14ac:dyDescent="0.25">
      <c r="A1609">
        <v>2018</v>
      </c>
      <c r="B1609" t="s">
        <v>259</v>
      </c>
      <c r="C1609">
        <v>27139</v>
      </c>
      <c r="D1609" t="s">
        <v>276</v>
      </c>
      <c r="E1609" t="s">
        <v>261</v>
      </c>
      <c r="F1609" t="s">
        <v>268</v>
      </c>
      <c r="G1609" t="s">
        <v>263</v>
      </c>
      <c r="H1609">
        <v>963.58884621107097</v>
      </c>
      <c r="I1609" t="s">
        <v>264</v>
      </c>
      <c r="J1609" t="s">
        <v>265</v>
      </c>
      <c r="K1609">
        <v>147339</v>
      </c>
      <c r="L1609" t="s">
        <v>282</v>
      </c>
      <c r="M1609">
        <v>0.01</v>
      </c>
    </row>
    <row r="1610" spans="1:13" x14ac:dyDescent="0.25">
      <c r="A1610">
        <v>2018</v>
      </c>
      <c r="B1610" t="s">
        <v>259</v>
      </c>
      <c r="C1610">
        <v>27139</v>
      </c>
      <c r="D1610" t="s">
        <v>276</v>
      </c>
      <c r="E1610" t="s">
        <v>261</v>
      </c>
      <c r="F1610" t="s">
        <v>268</v>
      </c>
      <c r="G1610" t="s">
        <v>267</v>
      </c>
      <c r="H1610">
        <v>6083.92327515126</v>
      </c>
      <c r="I1610" t="s">
        <v>264</v>
      </c>
      <c r="J1610" t="s">
        <v>265</v>
      </c>
      <c r="K1610">
        <v>147339</v>
      </c>
      <c r="L1610" t="s">
        <v>282</v>
      </c>
      <c r="M1610">
        <v>0.04</v>
      </c>
    </row>
    <row r="1611" spans="1:13" x14ac:dyDescent="0.25">
      <c r="A1611">
        <v>2018</v>
      </c>
      <c r="B1611" t="s">
        <v>259</v>
      </c>
      <c r="C1611">
        <v>27139</v>
      </c>
      <c r="D1611" t="s">
        <v>276</v>
      </c>
      <c r="E1611" t="s">
        <v>261</v>
      </c>
      <c r="F1611" t="s">
        <v>268</v>
      </c>
      <c r="G1611" t="s">
        <v>269</v>
      </c>
      <c r="H1611">
        <v>76.821526328852698</v>
      </c>
      <c r="I1611" t="s">
        <v>264</v>
      </c>
      <c r="J1611" t="s">
        <v>265</v>
      </c>
      <c r="K1611">
        <v>147339</v>
      </c>
      <c r="L1611" t="s">
        <v>282</v>
      </c>
      <c r="M1611">
        <v>0</v>
      </c>
    </row>
    <row r="1612" spans="1:13" x14ac:dyDescent="0.25">
      <c r="A1612">
        <v>2018</v>
      </c>
      <c r="B1612" t="s">
        <v>259</v>
      </c>
      <c r="C1612">
        <v>27139</v>
      </c>
      <c r="D1612" t="s">
        <v>276</v>
      </c>
      <c r="E1612" t="s">
        <v>261</v>
      </c>
      <c r="F1612" t="s">
        <v>270</v>
      </c>
      <c r="G1612" t="s">
        <v>263</v>
      </c>
      <c r="H1612">
        <v>27543.6514450986</v>
      </c>
      <c r="I1612" t="s">
        <v>264</v>
      </c>
      <c r="J1612" t="s">
        <v>265</v>
      </c>
      <c r="K1612">
        <v>147339</v>
      </c>
      <c r="L1612" t="s">
        <v>282</v>
      </c>
      <c r="M1612">
        <v>0.19</v>
      </c>
    </row>
    <row r="1613" spans="1:13" x14ac:dyDescent="0.25">
      <c r="A1613">
        <v>2018</v>
      </c>
      <c r="B1613" t="s">
        <v>259</v>
      </c>
      <c r="C1613">
        <v>27139</v>
      </c>
      <c r="D1613" t="s">
        <v>276</v>
      </c>
      <c r="E1613" t="s">
        <v>261</v>
      </c>
      <c r="F1613" t="s">
        <v>270</v>
      </c>
      <c r="G1613" t="s">
        <v>267</v>
      </c>
      <c r="H1613">
        <v>132724.58972583301</v>
      </c>
      <c r="I1613" t="s">
        <v>264</v>
      </c>
      <c r="J1613" t="s">
        <v>265</v>
      </c>
      <c r="K1613">
        <v>147339</v>
      </c>
      <c r="L1613" t="s">
        <v>282</v>
      </c>
      <c r="M1613">
        <v>0.9</v>
      </c>
    </row>
    <row r="1614" spans="1:13" x14ac:dyDescent="0.25">
      <c r="A1614">
        <v>2018</v>
      </c>
      <c r="B1614" t="s">
        <v>259</v>
      </c>
      <c r="C1614">
        <v>27139</v>
      </c>
      <c r="D1614" t="s">
        <v>276</v>
      </c>
      <c r="E1614" t="s">
        <v>261</v>
      </c>
      <c r="F1614" t="s">
        <v>270</v>
      </c>
      <c r="G1614" t="s">
        <v>269</v>
      </c>
      <c r="H1614">
        <v>76.118695781318607</v>
      </c>
      <c r="I1614" t="s">
        <v>264</v>
      </c>
      <c r="J1614" t="s">
        <v>265</v>
      </c>
      <c r="K1614">
        <v>147339</v>
      </c>
      <c r="L1614" t="s">
        <v>282</v>
      </c>
      <c r="M1614">
        <v>0</v>
      </c>
    </row>
    <row r="1615" spans="1:13" x14ac:dyDescent="0.25">
      <c r="A1615">
        <v>2018</v>
      </c>
      <c r="B1615" t="s">
        <v>259</v>
      </c>
      <c r="C1615">
        <v>27141</v>
      </c>
      <c r="D1615" t="s">
        <v>277</v>
      </c>
      <c r="E1615" t="s">
        <v>261</v>
      </c>
      <c r="F1615" t="s">
        <v>262</v>
      </c>
      <c r="G1615" t="s">
        <v>263</v>
      </c>
      <c r="H1615">
        <v>317586.55660041701</v>
      </c>
      <c r="I1615" t="s">
        <v>264</v>
      </c>
      <c r="J1615" t="s">
        <v>265</v>
      </c>
      <c r="K1615">
        <v>96067</v>
      </c>
      <c r="L1615" t="s">
        <v>282</v>
      </c>
      <c r="M1615">
        <v>3.31</v>
      </c>
    </row>
    <row r="1616" spans="1:13" x14ac:dyDescent="0.25">
      <c r="A1616">
        <v>2018</v>
      </c>
      <c r="B1616" t="s">
        <v>259</v>
      </c>
      <c r="C1616">
        <v>27141</v>
      </c>
      <c r="D1616" t="s">
        <v>277</v>
      </c>
      <c r="E1616" t="s">
        <v>261</v>
      </c>
      <c r="F1616" t="s">
        <v>262</v>
      </c>
      <c r="G1616" t="s">
        <v>267</v>
      </c>
      <c r="H1616">
        <v>14157.3025044402</v>
      </c>
      <c r="I1616" t="s">
        <v>264</v>
      </c>
      <c r="J1616" t="s">
        <v>265</v>
      </c>
      <c r="K1616">
        <v>96067</v>
      </c>
      <c r="L1616" t="s">
        <v>282</v>
      </c>
      <c r="M1616">
        <v>0.15</v>
      </c>
    </row>
    <row r="1617" spans="1:13" x14ac:dyDescent="0.25">
      <c r="A1617">
        <v>2018</v>
      </c>
      <c r="B1617" t="s">
        <v>259</v>
      </c>
      <c r="C1617">
        <v>27141</v>
      </c>
      <c r="D1617" t="s">
        <v>277</v>
      </c>
      <c r="E1617" t="s">
        <v>261</v>
      </c>
      <c r="F1617" t="s">
        <v>262</v>
      </c>
      <c r="G1617" t="s">
        <v>269</v>
      </c>
      <c r="H1617">
        <v>703.64426615238995</v>
      </c>
      <c r="I1617" t="s">
        <v>264</v>
      </c>
      <c r="J1617" t="s">
        <v>265</v>
      </c>
      <c r="K1617">
        <v>96067</v>
      </c>
      <c r="L1617" t="s">
        <v>282</v>
      </c>
      <c r="M1617">
        <v>0.01</v>
      </c>
    </row>
    <row r="1618" spans="1:13" x14ac:dyDescent="0.25">
      <c r="A1618">
        <v>2018</v>
      </c>
      <c r="B1618" t="s">
        <v>259</v>
      </c>
      <c r="C1618">
        <v>27141</v>
      </c>
      <c r="D1618" t="s">
        <v>277</v>
      </c>
      <c r="E1618" t="s">
        <v>261</v>
      </c>
      <c r="F1618" t="s">
        <v>268</v>
      </c>
      <c r="G1618" t="s">
        <v>263</v>
      </c>
      <c r="H1618">
        <v>353.12237005752797</v>
      </c>
      <c r="I1618" t="s">
        <v>264</v>
      </c>
      <c r="J1618" t="s">
        <v>265</v>
      </c>
      <c r="K1618">
        <v>96067</v>
      </c>
      <c r="L1618" t="s">
        <v>282</v>
      </c>
      <c r="M1618">
        <v>0</v>
      </c>
    </row>
    <row r="1619" spans="1:13" x14ac:dyDescent="0.25">
      <c r="A1619">
        <v>2018</v>
      </c>
      <c r="B1619" t="s">
        <v>259</v>
      </c>
      <c r="C1619">
        <v>27141</v>
      </c>
      <c r="D1619" t="s">
        <v>277</v>
      </c>
      <c r="E1619" t="s">
        <v>261</v>
      </c>
      <c r="F1619" t="s">
        <v>268</v>
      </c>
      <c r="G1619" t="s">
        <v>267</v>
      </c>
      <c r="H1619">
        <v>4346.8480967965997</v>
      </c>
      <c r="I1619" t="s">
        <v>264</v>
      </c>
      <c r="J1619" t="s">
        <v>265</v>
      </c>
      <c r="K1619">
        <v>96067</v>
      </c>
      <c r="L1619" t="s">
        <v>282</v>
      </c>
      <c r="M1619">
        <v>0.05</v>
      </c>
    </row>
    <row r="1620" spans="1:13" x14ac:dyDescent="0.25">
      <c r="A1620">
        <v>2018</v>
      </c>
      <c r="B1620" t="s">
        <v>259</v>
      </c>
      <c r="C1620">
        <v>27141</v>
      </c>
      <c r="D1620" t="s">
        <v>277</v>
      </c>
      <c r="E1620" t="s">
        <v>261</v>
      </c>
      <c r="F1620" t="s">
        <v>268</v>
      </c>
      <c r="G1620" t="s">
        <v>269</v>
      </c>
      <c r="H1620">
        <v>79.217697293872604</v>
      </c>
      <c r="I1620" t="s">
        <v>264</v>
      </c>
      <c r="J1620" t="s">
        <v>265</v>
      </c>
      <c r="K1620">
        <v>96067</v>
      </c>
      <c r="L1620" t="s">
        <v>282</v>
      </c>
      <c r="M1620">
        <v>0</v>
      </c>
    </row>
    <row r="1621" spans="1:13" x14ac:dyDescent="0.25">
      <c r="A1621">
        <v>2018</v>
      </c>
      <c r="B1621" t="s">
        <v>259</v>
      </c>
      <c r="C1621">
        <v>27141</v>
      </c>
      <c r="D1621" t="s">
        <v>277</v>
      </c>
      <c r="E1621" t="s">
        <v>261</v>
      </c>
      <c r="F1621" t="s">
        <v>270</v>
      </c>
      <c r="G1621" t="s">
        <v>263</v>
      </c>
      <c r="H1621">
        <v>16975.050364808601</v>
      </c>
      <c r="I1621" t="s">
        <v>264</v>
      </c>
      <c r="J1621" t="s">
        <v>265</v>
      </c>
      <c r="K1621">
        <v>96067</v>
      </c>
      <c r="L1621" t="s">
        <v>282</v>
      </c>
      <c r="M1621">
        <v>0.18</v>
      </c>
    </row>
    <row r="1622" spans="1:13" x14ac:dyDescent="0.25">
      <c r="A1622">
        <v>2018</v>
      </c>
      <c r="B1622" t="s">
        <v>259</v>
      </c>
      <c r="C1622">
        <v>27141</v>
      </c>
      <c r="D1622" t="s">
        <v>277</v>
      </c>
      <c r="E1622" t="s">
        <v>261</v>
      </c>
      <c r="F1622" t="s">
        <v>270</v>
      </c>
      <c r="G1622" t="s">
        <v>267</v>
      </c>
      <c r="H1622">
        <v>94421.2000632204</v>
      </c>
      <c r="I1622" t="s">
        <v>264</v>
      </c>
      <c r="J1622" t="s">
        <v>265</v>
      </c>
      <c r="K1622">
        <v>96067</v>
      </c>
      <c r="L1622" t="s">
        <v>282</v>
      </c>
      <c r="M1622">
        <v>0.98</v>
      </c>
    </row>
    <row r="1623" spans="1:13" x14ac:dyDescent="0.25">
      <c r="A1623">
        <v>2018</v>
      </c>
      <c r="B1623" t="s">
        <v>259</v>
      </c>
      <c r="C1623">
        <v>27141</v>
      </c>
      <c r="D1623" t="s">
        <v>277</v>
      </c>
      <c r="E1623" t="s">
        <v>261</v>
      </c>
      <c r="F1623" t="s">
        <v>270</v>
      </c>
      <c r="G1623" t="s">
        <v>269</v>
      </c>
      <c r="H1623">
        <v>83.709623642507907</v>
      </c>
      <c r="I1623" t="s">
        <v>264</v>
      </c>
      <c r="J1623" t="s">
        <v>265</v>
      </c>
      <c r="K1623">
        <v>96067</v>
      </c>
      <c r="L1623" t="s">
        <v>282</v>
      </c>
      <c r="M1623">
        <v>0</v>
      </c>
    </row>
    <row r="1624" spans="1:13" x14ac:dyDescent="0.25">
      <c r="A1624">
        <v>2018</v>
      </c>
      <c r="B1624" t="s">
        <v>259</v>
      </c>
      <c r="C1624">
        <v>27163</v>
      </c>
      <c r="D1624" t="s">
        <v>278</v>
      </c>
      <c r="E1624" t="s">
        <v>261</v>
      </c>
      <c r="F1624" t="s">
        <v>262</v>
      </c>
      <c r="G1624" t="s">
        <v>263</v>
      </c>
      <c r="H1624">
        <v>791334.92723005498</v>
      </c>
      <c r="I1624" t="s">
        <v>264</v>
      </c>
      <c r="J1624" t="s">
        <v>265</v>
      </c>
      <c r="K1624">
        <v>258969</v>
      </c>
      <c r="L1624" t="s">
        <v>282</v>
      </c>
      <c r="M1624">
        <v>3.06</v>
      </c>
    </row>
    <row r="1625" spans="1:13" x14ac:dyDescent="0.25">
      <c r="A1625">
        <v>2018</v>
      </c>
      <c r="B1625" t="s">
        <v>259</v>
      </c>
      <c r="C1625">
        <v>27163</v>
      </c>
      <c r="D1625" t="s">
        <v>278</v>
      </c>
      <c r="E1625" t="s">
        <v>261</v>
      </c>
      <c r="F1625" t="s">
        <v>262</v>
      </c>
      <c r="G1625" t="s">
        <v>267</v>
      </c>
      <c r="H1625">
        <v>16898.258906907002</v>
      </c>
      <c r="I1625" t="s">
        <v>264</v>
      </c>
      <c r="J1625" t="s">
        <v>265</v>
      </c>
      <c r="K1625">
        <v>258969</v>
      </c>
      <c r="L1625" t="s">
        <v>282</v>
      </c>
      <c r="M1625">
        <v>7.0000000000000007E-2</v>
      </c>
    </row>
    <row r="1626" spans="1:13" x14ac:dyDescent="0.25">
      <c r="A1626">
        <v>2018</v>
      </c>
      <c r="B1626" t="s">
        <v>259</v>
      </c>
      <c r="C1626">
        <v>27163</v>
      </c>
      <c r="D1626" t="s">
        <v>278</v>
      </c>
      <c r="E1626" t="s">
        <v>261</v>
      </c>
      <c r="F1626" t="s">
        <v>262</v>
      </c>
      <c r="G1626" t="s">
        <v>269</v>
      </c>
      <c r="H1626">
        <v>1435.0945365388</v>
      </c>
      <c r="I1626" t="s">
        <v>264</v>
      </c>
      <c r="J1626" t="s">
        <v>265</v>
      </c>
      <c r="K1626">
        <v>258969</v>
      </c>
      <c r="L1626" t="s">
        <v>282</v>
      </c>
      <c r="M1626">
        <v>0.01</v>
      </c>
    </row>
    <row r="1627" spans="1:13" x14ac:dyDescent="0.25">
      <c r="A1627">
        <v>2018</v>
      </c>
      <c r="B1627" t="s">
        <v>259</v>
      </c>
      <c r="C1627">
        <v>27163</v>
      </c>
      <c r="D1627" t="s">
        <v>278</v>
      </c>
      <c r="E1627" t="s">
        <v>261</v>
      </c>
      <c r="F1627" t="s">
        <v>268</v>
      </c>
      <c r="G1627" t="s">
        <v>263</v>
      </c>
      <c r="H1627">
        <v>626.95577836496602</v>
      </c>
      <c r="I1627" t="s">
        <v>264</v>
      </c>
      <c r="J1627" t="s">
        <v>265</v>
      </c>
      <c r="K1627">
        <v>258969</v>
      </c>
      <c r="L1627" t="s">
        <v>282</v>
      </c>
      <c r="M1627">
        <v>0</v>
      </c>
    </row>
    <row r="1628" spans="1:13" x14ac:dyDescent="0.25">
      <c r="A1628">
        <v>2018</v>
      </c>
      <c r="B1628" t="s">
        <v>259</v>
      </c>
      <c r="C1628">
        <v>27163</v>
      </c>
      <c r="D1628" t="s">
        <v>278</v>
      </c>
      <c r="E1628" t="s">
        <v>261</v>
      </c>
      <c r="F1628" t="s">
        <v>268</v>
      </c>
      <c r="G1628" t="s">
        <v>267</v>
      </c>
      <c r="H1628">
        <v>11750.107617657701</v>
      </c>
      <c r="I1628" t="s">
        <v>264</v>
      </c>
      <c r="J1628" t="s">
        <v>265</v>
      </c>
      <c r="K1628">
        <v>258969</v>
      </c>
      <c r="L1628" t="s">
        <v>282</v>
      </c>
      <c r="M1628">
        <v>0.05</v>
      </c>
    </row>
    <row r="1629" spans="1:13" x14ac:dyDescent="0.25">
      <c r="A1629">
        <v>2018</v>
      </c>
      <c r="B1629" t="s">
        <v>259</v>
      </c>
      <c r="C1629">
        <v>27163</v>
      </c>
      <c r="D1629" t="s">
        <v>278</v>
      </c>
      <c r="E1629" t="s">
        <v>261</v>
      </c>
      <c r="F1629" t="s">
        <v>268</v>
      </c>
      <c r="G1629" t="s">
        <v>269</v>
      </c>
      <c r="H1629">
        <v>158.76122897275101</v>
      </c>
      <c r="I1629" t="s">
        <v>264</v>
      </c>
      <c r="J1629" t="s">
        <v>265</v>
      </c>
      <c r="K1629">
        <v>258969</v>
      </c>
      <c r="L1629" t="s">
        <v>282</v>
      </c>
      <c r="M1629">
        <v>0</v>
      </c>
    </row>
    <row r="1630" spans="1:13" x14ac:dyDescent="0.25">
      <c r="A1630">
        <v>2018</v>
      </c>
      <c r="B1630" t="s">
        <v>259</v>
      </c>
      <c r="C1630">
        <v>27163</v>
      </c>
      <c r="D1630" t="s">
        <v>278</v>
      </c>
      <c r="E1630" t="s">
        <v>261</v>
      </c>
      <c r="F1630" t="s">
        <v>270</v>
      </c>
      <c r="G1630" t="s">
        <v>263</v>
      </c>
      <c r="H1630">
        <v>39048.935135220199</v>
      </c>
      <c r="I1630" t="s">
        <v>264</v>
      </c>
      <c r="J1630" t="s">
        <v>265</v>
      </c>
      <c r="K1630">
        <v>258969</v>
      </c>
      <c r="L1630" t="s">
        <v>282</v>
      </c>
      <c r="M1630">
        <v>0.15</v>
      </c>
    </row>
    <row r="1631" spans="1:13" x14ac:dyDescent="0.25">
      <c r="A1631">
        <v>2018</v>
      </c>
      <c r="B1631" t="s">
        <v>259</v>
      </c>
      <c r="C1631">
        <v>27163</v>
      </c>
      <c r="D1631" t="s">
        <v>278</v>
      </c>
      <c r="E1631" t="s">
        <v>261</v>
      </c>
      <c r="F1631" t="s">
        <v>270</v>
      </c>
      <c r="G1631" t="s">
        <v>267</v>
      </c>
      <c r="H1631">
        <v>237238.55123360199</v>
      </c>
      <c r="I1631" t="s">
        <v>264</v>
      </c>
      <c r="J1631" t="s">
        <v>265</v>
      </c>
      <c r="K1631">
        <v>258969</v>
      </c>
      <c r="L1631" t="s">
        <v>282</v>
      </c>
      <c r="M1631">
        <v>0.92</v>
      </c>
    </row>
    <row r="1632" spans="1:13" x14ac:dyDescent="0.25">
      <c r="A1632">
        <v>2018</v>
      </c>
      <c r="B1632" t="s">
        <v>259</v>
      </c>
      <c r="C1632">
        <v>27163</v>
      </c>
      <c r="D1632" t="s">
        <v>278</v>
      </c>
      <c r="E1632" t="s">
        <v>261</v>
      </c>
      <c r="F1632" t="s">
        <v>270</v>
      </c>
      <c r="G1632" t="s">
        <v>269</v>
      </c>
      <c r="H1632">
        <v>139.76748419256799</v>
      </c>
      <c r="I1632" t="s">
        <v>264</v>
      </c>
      <c r="J1632" t="s">
        <v>265</v>
      </c>
      <c r="K1632">
        <v>258969</v>
      </c>
      <c r="L1632" t="s">
        <v>282</v>
      </c>
      <c r="M1632">
        <v>0</v>
      </c>
    </row>
    <row r="1633" spans="1:13" x14ac:dyDescent="0.25">
      <c r="A1633">
        <v>2018</v>
      </c>
      <c r="B1633" t="s">
        <v>259</v>
      </c>
      <c r="C1633">
        <v>55093</v>
      </c>
      <c r="D1633" t="s">
        <v>279</v>
      </c>
      <c r="E1633" t="s">
        <v>261</v>
      </c>
      <c r="F1633" t="s">
        <v>262</v>
      </c>
      <c r="G1633" t="s">
        <v>263</v>
      </c>
      <c r="H1633">
        <v>121711.837585904</v>
      </c>
      <c r="I1633" t="s">
        <v>264</v>
      </c>
      <c r="J1633" t="s">
        <v>265</v>
      </c>
      <c r="K1633">
        <v>42608</v>
      </c>
      <c r="L1633" t="s">
        <v>282</v>
      </c>
      <c r="M1633">
        <v>2.86</v>
      </c>
    </row>
    <row r="1634" spans="1:13" x14ac:dyDescent="0.25">
      <c r="A1634">
        <v>2018</v>
      </c>
      <c r="B1634" t="s">
        <v>259</v>
      </c>
      <c r="C1634">
        <v>55093</v>
      </c>
      <c r="D1634" t="s">
        <v>279</v>
      </c>
      <c r="E1634" t="s">
        <v>261</v>
      </c>
      <c r="F1634" t="s">
        <v>262</v>
      </c>
      <c r="G1634" t="s">
        <v>267</v>
      </c>
      <c r="H1634">
        <v>5310.26103123337</v>
      </c>
      <c r="I1634" t="s">
        <v>264</v>
      </c>
      <c r="J1634" t="s">
        <v>265</v>
      </c>
      <c r="K1634">
        <v>42608</v>
      </c>
      <c r="L1634" t="s">
        <v>282</v>
      </c>
      <c r="M1634">
        <v>0.12</v>
      </c>
    </row>
    <row r="1635" spans="1:13" x14ac:dyDescent="0.25">
      <c r="A1635">
        <v>2018</v>
      </c>
      <c r="B1635" t="s">
        <v>259</v>
      </c>
      <c r="C1635">
        <v>55093</v>
      </c>
      <c r="D1635" t="s">
        <v>279</v>
      </c>
      <c r="E1635" t="s">
        <v>261</v>
      </c>
      <c r="F1635" t="s">
        <v>262</v>
      </c>
      <c r="G1635" t="s">
        <v>269</v>
      </c>
      <c r="H1635">
        <v>290.88941979693101</v>
      </c>
      <c r="I1635" t="s">
        <v>264</v>
      </c>
      <c r="J1635" t="s">
        <v>265</v>
      </c>
      <c r="K1635">
        <v>42608</v>
      </c>
      <c r="L1635" t="s">
        <v>282</v>
      </c>
      <c r="M1635">
        <v>0.01</v>
      </c>
    </row>
    <row r="1636" spans="1:13" x14ac:dyDescent="0.25">
      <c r="A1636">
        <v>2018</v>
      </c>
      <c r="B1636" t="s">
        <v>259</v>
      </c>
      <c r="C1636">
        <v>55093</v>
      </c>
      <c r="D1636" t="s">
        <v>279</v>
      </c>
      <c r="E1636" t="s">
        <v>261</v>
      </c>
      <c r="F1636" t="s">
        <v>268</v>
      </c>
      <c r="G1636" t="s">
        <v>263</v>
      </c>
      <c r="H1636">
        <v>191.114472426276</v>
      </c>
      <c r="I1636" t="s">
        <v>264</v>
      </c>
      <c r="J1636" t="s">
        <v>265</v>
      </c>
      <c r="K1636">
        <v>42608</v>
      </c>
      <c r="L1636" t="s">
        <v>282</v>
      </c>
      <c r="M1636">
        <v>0</v>
      </c>
    </row>
    <row r="1637" spans="1:13" x14ac:dyDescent="0.25">
      <c r="A1637">
        <v>2018</v>
      </c>
      <c r="B1637" t="s">
        <v>259</v>
      </c>
      <c r="C1637">
        <v>55093</v>
      </c>
      <c r="D1637" t="s">
        <v>279</v>
      </c>
      <c r="E1637" t="s">
        <v>261</v>
      </c>
      <c r="F1637" t="s">
        <v>268</v>
      </c>
      <c r="G1637" t="s">
        <v>267</v>
      </c>
      <c r="H1637">
        <v>2337.6308705369702</v>
      </c>
      <c r="I1637" t="s">
        <v>264</v>
      </c>
      <c r="J1637" t="s">
        <v>265</v>
      </c>
      <c r="K1637">
        <v>42608</v>
      </c>
      <c r="L1637" t="s">
        <v>282</v>
      </c>
      <c r="M1637">
        <v>0.05</v>
      </c>
    </row>
    <row r="1638" spans="1:13" x14ac:dyDescent="0.25">
      <c r="A1638">
        <v>2018</v>
      </c>
      <c r="B1638" t="s">
        <v>259</v>
      </c>
      <c r="C1638">
        <v>55093</v>
      </c>
      <c r="D1638" t="s">
        <v>279</v>
      </c>
      <c r="E1638" t="s">
        <v>261</v>
      </c>
      <c r="F1638" t="s">
        <v>268</v>
      </c>
      <c r="G1638" t="s">
        <v>269</v>
      </c>
      <c r="H1638">
        <v>60.7325317012574</v>
      </c>
      <c r="I1638" t="s">
        <v>264</v>
      </c>
      <c r="J1638" t="s">
        <v>265</v>
      </c>
      <c r="K1638">
        <v>42608</v>
      </c>
      <c r="L1638" t="s">
        <v>282</v>
      </c>
      <c r="M1638">
        <v>0</v>
      </c>
    </row>
    <row r="1639" spans="1:13" x14ac:dyDescent="0.25">
      <c r="A1639">
        <v>2018</v>
      </c>
      <c r="B1639" t="s">
        <v>259</v>
      </c>
      <c r="C1639">
        <v>55093</v>
      </c>
      <c r="D1639" t="s">
        <v>279</v>
      </c>
      <c r="E1639" t="s">
        <v>261</v>
      </c>
      <c r="F1639" t="s">
        <v>270</v>
      </c>
      <c r="G1639" t="s">
        <v>263</v>
      </c>
      <c r="H1639">
        <v>7070.7065208015601</v>
      </c>
      <c r="I1639" t="s">
        <v>264</v>
      </c>
      <c r="J1639" t="s">
        <v>265</v>
      </c>
      <c r="K1639">
        <v>42608</v>
      </c>
      <c r="L1639" t="s">
        <v>282</v>
      </c>
      <c r="M1639">
        <v>0.17</v>
      </c>
    </row>
    <row r="1640" spans="1:13" x14ac:dyDescent="0.25">
      <c r="A1640">
        <v>2018</v>
      </c>
      <c r="B1640" t="s">
        <v>259</v>
      </c>
      <c r="C1640">
        <v>55093</v>
      </c>
      <c r="D1640" t="s">
        <v>279</v>
      </c>
      <c r="E1640" t="s">
        <v>261</v>
      </c>
      <c r="F1640" t="s">
        <v>270</v>
      </c>
      <c r="G1640" t="s">
        <v>267</v>
      </c>
      <c r="H1640">
        <v>21805.590475942299</v>
      </c>
      <c r="I1640" t="s">
        <v>264</v>
      </c>
      <c r="J1640" t="s">
        <v>265</v>
      </c>
      <c r="K1640">
        <v>42608</v>
      </c>
      <c r="L1640" t="s">
        <v>282</v>
      </c>
      <c r="M1640">
        <v>0.51</v>
      </c>
    </row>
    <row r="1641" spans="1:13" x14ac:dyDescent="0.25">
      <c r="A1641">
        <v>2018</v>
      </c>
      <c r="B1641" t="s">
        <v>259</v>
      </c>
      <c r="C1641">
        <v>55093</v>
      </c>
      <c r="D1641" t="s">
        <v>279</v>
      </c>
      <c r="E1641" t="s">
        <v>261</v>
      </c>
      <c r="F1641" t="s">
        <v>270</v>
      </c>
      <c r="G1641" t="s">
        <v>269</v>
      </c>
      <c r="H1641">
        <v>26.672544815540199</v>
      </c>
      <c r="I1641" t="s">
        <v>264</v>
      </c>
      <c r="J1641" t="s">
        <v>265</v>
      </c>
      <c r="K1641">
        <v>42608</v>
      </c>
      <c r="L1641" t="s">
        <v>282</v>
      </c>
      <c r="M1641">
        <v>0</v>
      </c>
    </row>
    <row r="1642" spans="1:13" x14ac:dyDescent="0.25">
      <c r="A1642">
        <v>2018</v>
      </c>
      <c r="B1642" t="s">
        <v>259</v>
      </c>
      <c r="C1642">
        <v>55109</v>
      </c>
      <c r="D1642" t="s">
        <v>280</v>
      </c>
      <c r="E1642" t="s">
        <v>261</v>
      </c>
      <c r="F1642" t="s">
        <v>262</v>
      </c>
      <c r="G1642" t="s">
        <v>263</v>
      </c>
      <c r="H1642">
        <v>413751.806617364</v>
      </c>
      <c r="I1642" t="s">
        <v>264</v>
      </c>
      <c r="J1642" t="s">
        <v>265</v>
      </c>
      <c r="K1642">
        <v>89721</v>
      </c>
      <c r="L1642" t="s">
        <v>282</v>
      </c>
      <c r="M1642">
        <v>4.6100000000000003</v>
      </c>
    </row>
    <row r="1643" spans="1:13" x14ac:dyDescent="0.25">
      <c r="A1643">
        <v>2018</v>
      </c>
      <c r="B1643" t="s">
        <v>259</v>
      </c>
      <c r="C1643">
        <v>55109</v>
      </c>
      <c r="D1643" t="s">
        <v>280</v>
      </c>
      <c r="E1643" t="s">
        <v>261</v>
      </c>
      <c r="F1643" t="s">
        <v>262</v>
      </c>
      <c r="G1643" t="s">
        <v>267</v>
      </c>
      <c r="H1643">
        <v>17260.414794635999</v>
      </c>
      <c r="I1643" t="s">
        <v>264</v>
      </c>
      <c r="J1643" t="s">
        <v>265</v>
      </c>
      <c r="K1643">
        <v>89721</v>
      </c>
      <c r="L1643" t="s">
        <v>282</v>
      </c>
      <c r="M1643">
        <v>0.19</v>
      </c>
    </row>
    <row r="1644" spans="1:13" x14ac:dyDescent="0.25">
      <c r="A1644">
        <v>2018</v>
      </c>
      <c r="B1644" t="s">
        <v>259</v>
      </c>
      <c r="C1644">
        <v>55109</v>
      </c>
      <c r="D1644" t="s">
        <v>280</v>
      </c>
      <c r="E1644" t="s">
        <v>261</v>
      </c>
      <c r="F1644" t="s">
        <v>262</v>
      </c>
      <c r="G1644" t="s">
        <v>269</v>
      </c>
      <c r="H1644">
        <v>951.84990775568804</v>
      </c>
      <c r="I1644" t="s">
        <v>264</v>
      </c>
      <c r="J1644" t="s">
        <v>265</v>
      </c>
      <c r="K1644">
        <v>89721</v>
      </c>
      <c r="L1644" t="s">
        <v>282</v>
      </c>
      <c r="M1644">
        <v>0.01</v>
      </c>
    </row>
    <row r="1645" spans="1:13" x14ac:dyDescent="0.25">
      <c r="A1645">
        <v>2018</v>
      </c>
      <c r="B1645" t="s">
        <v>259</v>
      </c>
      <c r="C1645">
        <v>55109</v>
      </c>
      <c r="D1645" t="s">
        <v>280</v>
      </c>
      <c r="E1645" t="s">
        <v>261</v>
      </c>
      <c r="F1645" t="s">
        <v>268</v>
      </c>
      <c r="G1645" t="s">
        <v>263</v>
      </c>
      <c r="H1645">
        <v>528.31203556380206</v>
      </c>
      <c r="I1645" t="s">
        <v>264</v>
      </c>
      <c r="J1645" t="s">
        <v>265</v>
      </c>
      <c r="K1645">
        <v>89721</v>
      </c>
      <c r="L1645" t="s">
        <v>282</v>
      </c>
      <c r="M1645">
        <v>0.01</v>
      </c>
    </row>
    <row r="1646" spans="1:13" x14ac:dyDescent="0.25">
      <c r="A1646">
        <v>2018</v>
      </c>
      <c r="B1646" t="s">
        <v>259</v>
      </c>
      <c r="C1646">
        <v>55109</v>
      </c>
      <c r="D1646" t="s">
        <v>280</v>
      </c>
      <c r="E1646" t="s">
        <v>261</v>
      </c>
      <c r="F1646" t="s">
        <v>268</v>
      </c>
      <c r="G1646" t="s">
        <v>267</v>
      </c>
      <c r="H1646">
        <v>7504.1054472112301</v>
      </c>
      <c r="I1646" t="s">
        <v>264</v>
      </c>
      <c r="J1646" t="s">
        <v>265</v>
      </c>
      <c r="K1646">
        <v>89721</v>
      </c>
      <c r="L1646" t="s">
        <v>282</v>
      </c>
      <c r="M1646">
        <v>0.08</v>
      </c>
    </row>
    <row r="1647" spans="1:13" x14ac:dyDescent="0.25">
      <c r="A1647">
        <v>2018</v>
      </c>
      <c r="B1647" t="s">
        <v>259</v>
      </c>
      <c r="C1647">
        <v>55109</v>
      </c>
      <c r="D1647" t="s">
        <v>280</v>
      </c>
      <c r="E1647" t="s">
        <v>261</v>
      </c>
      <c r="F1647" t="s">
        <v>268</v>
      </c>
      <c r="G1647" t="s">
        <v>269</v>
      </c>
      <c r="H1647">
        <v>151.332413888487</v>
      </c>
      <c r="I1647" t="s">
        <v>264</v>
      </c>
      <c r="J1647" t="s">
        <v>265</v>
      </c>
      <c r="K1647">
        <v>89721</v>
      </c>
      <c r="L1647" t="s">
        <v>282</v>
      </c>
      <c r="M1647">
        <v>0</v>
      </c>
    </row>
    <row r="1648" spans="1:13" x14ac:dyDescent="0.25">
      <c r="A1648">
        <v>2018</v>
      </c>
      <c r="B1648" t="s">
        <v>259</v>
      </c>
      <c r="C1648">
        <v>55109</v>
      </c>
      <c r="D1648" t="s">
        <v>280</v>
      </c>
      <c r="E1648" t="s">
        <v>261</v>
      </c>
      <c r="F1648" t="s">
        <v>270</v>
      </c>
      <c r="G1648" t="s">
        <v>263</v>
      </c>
      <c r="H1648">
        <v>25491.309673840002</v>
      </c>
      <c r="I1648" t="s">
        <v>264</v>
      </c>
      <c r="J1648" t="s">
        <v>265</v>
      </c>
      <c r="K1648">
        <v>89721</v>
      </c>
      <c r="L1648" t="s">
        <v>282</v>
      </c>
      <c r="M1648">
        <v>0.28000000000000003</v>
      </c>
    </row>
    <row r="1649" spans="1:13" x14ac:dyDescent="0.25">
      <c r="A1649">
        <v>2018</v>
      </c>
      <c r="B1649" t="s">
        <v>259</v>
      </c>
      <c r="C1649">
        <v>55109</v>
      </c>
      <c r="D1649" t="s">
        <v>280</v>
      </c>
      <c r="E1649" t="s">
        <v>261</v>
      </c>
      <c r="F1649" t="s">
        <v>270</v>
      </c>
      <c r="G1649" t="s">
        <v>267</v>
      </c>
      <c r="H1649">
        <v>153811.47887788201</v>
      </c>
      <c r="I1649" t="s">
        <v>264</v>
      </c>
      <c r="J1649" t="s">
        <v>265</v>
      </c>
      <c r="K1649">
        <v>89721</v>
      </c>
      <c r="L1649" t="s">
        <v>282</v>
      </c>
      <c r="M1649">
        <v>1.71</v>
      </c>
    </row>
    <row r="1650" spans="1:13" x14ac:dyDescent="0.25">
      <c r="A1650">
        <v>2018</v>
      </c>
      <c r="B1650" t="s">
        <v>259</v>
      </c>
      <c r="C1650">
        <v>55109</v>
      </c>
      <c r="D1650" t="s">
        <v>280</v>
      </c>
      <c r="E1650" t="s">
        <v>261</v>
      </c>
      <c r="F1650" t="s">
        <v>270</v>
      </c>
      <c r="G1650" t="s">
        <v>269</v>
      </c>
      <c r="H1650">
        <v>105.050582476934</v>
      </c>
      <c r="I1650" t="s">
        <v>264</v>
      </c>
      <c r="J1650" t="s">
        <v>265</v>
      </c>
      <c r="K1650">
        <v>89721</v>
      </c>
      <c r="L1650" t="s">
        <v>282</v>
      </c>
      <c r="M1650">
        <v>0</v>
      </c>
    </row>
    <row r="1651" spans="1:13" x14ac:dyDescent="0.25">
      <c r="A1651">
        <v>2019</v>
      </c>
      <c r="B1651" t="s">
        <v>259</v>
      </c>
      <c r="C1651">
        <v>27003</v>
      </c>
      <c r="D1651" t="s">
        <v>260</v>
      </c>
      <c r="E1651" t="s">
        <v>261</v>
      </c>
      <c r="F1651" t="s">
        <v>262</v>
      </c>
      <c r="G1651" t="s">
        <v>263</v>
      </c>
      <c r="H1651">
        <v>1031377.2844699</v>
      </c>
      <c r="I1651" t="s">
        <v>264</v>
      </c>
      <c r="J1651" t="s">
        <v>265</v>
      </c>
      <c r="K1651">
        <v>357538</v>
      </c>
      <c r="L1651" t="s">
        <v>282</v>
      </c>
      <c r="M1651">
        <v>2.88</v>
      </c>
    </row>
    <row r="1652" spans="1:13" x14ac:dyDescent="0.25">
      <c r="A1652">
        <v>2019</v>
      </c>
      <c r="B1652" t="s">
        <v>259</v>
      </c>
      <c r="C1652">
        <v>27003</v>
      </c>
      <c r="D1652" t="s">
        <v>260</v>
      </c>
      <c r="E1652" t="s">
        <v>261</v>
      </c>
      <c r="F1652" t="s">
        <v>262</v>
      </c>
      <c r="G1652" t="s">
        <v>267</v>
      </c>
      <c r="H1652">
        <v>22488.4722417005</v>
      </c>
      <c r="I1652" t="s">
        <v>264</v>
      </c>
      <c r="J1652" t="s">
        <v>265</v>
      </c>
      <c r="K1652">
        <v>357538</v>
      </c>
      <c r="L1652" t="s">
        <v>282</v>
      </c>
      <c r="M1652">
        <v>0.06</v>
      </c>
    </row>
    <row r="1653" spans="1:13" x14ac:dyDescent="0.25">
      <c r="A1653">
        <v>2019</v>
      </c>
      <c r="B1653" t="s">
        <v>259</v>
      </c>
      <c r="C1653">
        <v>27003</v>
      </c>
      <c r="D1653" t="s">
        <v>260</v>
      </c>
      <c r="E1653" t="s">
        <v>261</v>
      </c>
      <c r="F1653" t="s">
        <v>262</v>
      </c>
      <c r="G1653" t="s">
        <v>269</v>
      </c>
      <c r="H1653">
        <v>1907.9335637721399</v>
      </c>
      <c r="I1653" t="s">
        <v>264</v>
      </c>
      <c r="J1653" t="s">
        <v>265</v>
      </c>
      <c r="K1653">
        <v>357538</v>
      </c>
      <c r="L1653" t="s">
        <v>282</v>
      </c>
      <c r="M1653">
        <v>0.01</v>
      </c>
    </row>
    <row r="1654" spans="1:13" x14ac:dyDescent="0.25">
      <c r="A1654">
        <v>2019</v>
      </c>
      <c r="B1654" t="s">
        <v>259</v>
      </c>
      <c r="C1654">
        <v>27003</v>
      </c>
      <c r="D1654" t="s">
        <v>260</v>
      </c>
      <c r="E1654" t="s">
        <v>261</v>
      </c>
      <c r="F1654" t="s">
        <v>268</v>
      </c>
      <c r="G1654" t="s">
        <v>263</v>
      </c>
      <c r="H1654">
        <v>2384.1078570783902</v>
      </c>
      <c r="I1654" t="s">
        <v>264</v>
      </c>
      <c r="J1654" t="s">
        <v>265</v>
      </c>
      <c r="K1654">
        <v>357538</v>
      </c>
      <c r="L1654" t="s">
        <v>282</v>
      </c>
      <c r="M1654">
        <v>0.01</v>
      </c>
    </row>
    <row r="1655" spans="1:13" x14ac:dyDescent="0.25">
      <c r="A1655">
        <v>2019</v>
      </c>
      <c r="B1655" t="s">
        <v>259</v>
      </c>
      <c r="C1655">
        <v>27003</v>
      </c>
      <c r="D1655" t="s">
        <v>260</v>
      </c>
      <c r="E1655" t="s">
        <v>261</v>
      </c>
      <c r="F1655" t="s">
        <v>268</v>
      </c>
      <c r="G1655" t="s">
        <v>267</v>
      </c>
      <c r="H1655">
        <v>14065.1071843712</v>
      </c>
      <c r="I1655" t="s">
        <v>264</v>
      </c>
      <c r="J1655" t="s">
        <v>265</v>
      </c>
      <c r="K1655">
        <v>357538</v>
      </c>
      <c r="L1655" t="s">
        <v>282</v>
      </c>
      <c r="M1655">
        <v>0.04</v>
      </c>
    </row>
    <row r="1656" spans="1:13" x14ac:dyDescent="0.25">
      <c r="A1656">
        <v>2019</v>
      </c>
      <c r="B1656" t="s">
        <v>259</v>
      </c>
      <c r="C1656">
        <v>27003</v>
      </c>
      <c r="D1656" t="s">
        <v>260</v>
      </c>
      <c r="E1656" t="s">
        <v>261</v>
      </c>
      <c r="F1656" t="s">
        <v>268</v>
      </c>
      <c r="G1656" t="s">
        <v>269</v>
      </c>
      <c r="H1656">
        <v>4.4144744237346103</v>
      </c>
      <c r="I1656" t="s">
        <v>264</v>
      </c>
      <c r="J1656" t="s">
        <v>265</v>
      </c>
      <c r="K1656">
        <v>357538</v>
      </c>
      <c r="L1656" t="s">
        <v>282</v>
      </c>
      <c r="M1656">
        <v>0</v>
      </c>
    </row>
    <row r="1657" spans="1:13" x14ac:dyDescent="0.25">
      <c r="A1657">
        <v>2019</v>
      </c>
      <c r="B1657" t="s">
        <v>259</v>
      </c>
      <c r="C1657">
        <v>27003</v>
      </c>
      <c r="D1657" t="s">
        <v>260</v>
      </c>
      <c r="E1657" t="s">
        <v>261</v>
      </c>
      <c r="F1657" t="s">
        <v>270</v>
      </c>
      <c r="G1657" t="s">
        <v>263</v>
      </c>
      <c r="H1657">
        <v>77108.225104202502</v>
      </c>
      <c r="I1657" t="s">
        <v>264</v>
      </c>
      <c r="J1657" t="s">
        <v>265</v>
      </c>
      <c r="K1657">
        <v>357538</v>
      </c>
      <c r="L1657" t="s">
        <v>282</v>
      </c>
      <c r="M1657">
        <v>0.22</v>
      </c>
    </row>
    <row r="1658" spans="1:13" x14ac:dyDescent="0.25">
      <c r="A1658">
        <v>2019</v>
      </c>
      <c r="B1658" t="s">
        <v>259</v>
      </c>
      <c r="C1658">
        <v>27003</v>
      </c>
      <c r="D1658" t="s">
        <v>260</v>
      </c>
      <c r="E1658" t="s">
        <v>261</v>
      </c>
      <c r="F1658" t="s">
        <v>270</v>
      </c>
      <c r="G1658" t="s">
        <v>267</v>
      </c>
      <c r="H1658">
        <v>309728.47050694498</v>
      </c>
      <c r="I1658" t="s">
        <v>264</v>
      </c>
      <c r="J1658" t="s">
        <v>265</v>
      </c>
      <c r="K1658">
        <v>357538</v>
      </c>
      <c r="L1658" t="s">
        <v>282</v>
      </c>
      <c r="M1658">
        <v>0.87</v>
      </c>
    </row>
    <row r="1659" spans="1:13" x14ac:dyDescent="0.25">
      <c r="A1659">
        <v>2019</v>
      </c>
      <c r="B1659" t="s">
        <v>259</v>
      </c>
      <c r="C1659">
        <v>27003</v>
      </c>
      <c r="D1659" t="s">
        <v>260</v>
      </c>
      <c r="E1659" t="s">
        <v>261</v>
      </c>
      <c r="F1659" t="s">
        <v>270</v>
      </c>
      <c r="G1659" t="s">
        <v>269</v>
      </c>
      <c r="H1659">
        <v>141.97546743887099</v>
      </c>
      <c r="I1659" t="s">
        <v>264</v>
      </c>
      <c r="J1659" t="s">
        <v>265</v>
      </c>
      <c r="K1659">
        <v>357538</v>
      </c>
      <c r="L1659" t="s">
        <v>282</v>
      </c>
      <c r="M1659">
        <v>0</v>
      </c>
    </row>
    <row r="1660" spans="1:13" x14ac:dyDescent="0.25">
      <c r="A1660">
        <v>2019</v>
      </c>
      <c r="B1660" t="s">
        <v>259</v>
      </c>
      <c r="C1660">
        <v>27019</v>
      </c>
      <c r="D1660" t="s">
        <v>271</v>
      </c>
      <c r="E1660" t="s">
        <v>261</v>
      </c>
      <c r="F1660" t="s">
        <v>262</v>
      </c>
      <c r="G1660" t="s">
        <v>263</v>
      </c>
      <c r="H1660">
        <v>289645.88278628897</v>
      </c>
      <c r="I1660" t="s">
        <v>264</v>
      </c>
      <c r="J1660" t="s">
        <v>265</v>
      </c>
      <c r="K1660">
        <v>105128</v>
      </c>
      <c r="L1660" t="s">
        <v>282</v>
      </c>
      <c r="M1660">
        <v>2.76</v>
      </c>
    </row>
    <row r="1661" spans="1:13" x14ac:dyDescent="0.25">
      <c r="A1661">
        <v>2019</v>
      </c>
      <c r="B1661" t="s">
        <v>259</v>
      </c>
      <c r="C1661">
        <v>27019</v>
      </c>
      <c r="D1661" t="s">
        <v>271</v>
      </c>
      <c r="E1661" t="s">
        <v>261</v>
      </c>
      <c r="F1661" t="s">
        <v>262</v>
      </c>
      <c r="G1661" t="s">
        <v>267</v>
      </c>
      <c r="H1661">
        <v>6987.1775030352201</v>
      </c>
      <c r="I1661" t="s">
        <v>264</v>
      </c>
      <c r="J1661" t="s">
        <v>265</v>
      </c>
      <c r="K1661">
        <v>105128</v>
      </c>
      <c r="L1661" t="s">
        <v>282</v>
      </c>
      <c r="M1661">
        <v>7.0000000000000007E-2</v>
      </c>
    </row>
    <row r="1662" spans="1:13" x14ac:dyDescent="0.25">
      <c r="A1662">
        <v>2019</v>
      </c>
      <c r="B1662" t="s">
        <v>259</v>
      </c>
      <c r="C1662">
        <v>27019</v>
      </c>
      <c r="D1662" t="s">
        <v>271</v>
      </c>
      <c r="E1662" t="s">
        <v>261</v>
      </c>
      <c r="F1662" t="s">
        <v>262</v>
      </c>
      <c r="G1662" t="s">
        <v>269</v>
      </c>
      <c r="H1662">
        <v>566.88292221871495</v>
      </c>
      <c r="I1662" t="s">
        <v>264</v>
      </c>
      <c r="J1662" t="s">
        <v>265</v>
      </c>
      <c r="K1662">
        <v>105128</v>
      </c>
      <c r="L1662" t="s">
        <v>282</v>
      </c>
      <c r="M1662">
        <v>0.01</v>
      </c>
    </row>
    <row r="1663" spans="1:13" x14ac:dyDescent="0.25">
      <c r="A1663">
        <v>2019</v>
      </c>
      <c r="B1663" t="s">
        <v>259</v>
      </c>
      <c r="C1663">
        <v>27019</v>
      </c>
      <c r="D1663" t="s">
        <v>271</v>
      </c>
      <c r="E1663" t="s">
        <v>261</v>
      </c>
      <c r="F1663" t="s">
        <v>268</v>
      </c>
      <c r="G1663" t="s">
        <v>263</v>
      </c>
      <c r="H1663">
        <v>699.99255541845503</v>
      </c>
      <c r="I1663" t="s">
        <v>264</v>
      </c>
      <c r="J1663" t="s">
        <v>265</v>
      </c>
      <c r="K1663">
        <v>105128</v>
      </c>
      <c r="L1663" t="s">
        <v>282</v>
      </c>
      <c r="M1663">
        <v>0.01</v>
      </c>
    </row>
    <row r="1664" spans="1:13" x14ac:dyDescent="0.25">
      <c r="A1664">
        <v>2019</v>
      </c>
      <c r="B1664" t="s">
        <v>259</v>
      </c>
      <c r="C1664">
        <v>27019</v>
      </c>
      <c r="D1664" t="s">
        <v>271</v>
      </c>
      <c r="E1664" t="s">
        <v>261</v>
      </c>
      <c r="F1664" t="s">
        <v>268</v>
      </c>
      <c r="G1664" t="s">
        <v>267</v>
      </c>
      <c r="H1664">
        <v>3877.1558549471802</v>
      </c>
      <c r="I1664" t="s">
        <v>264</v>
      </c>
      <c r="J1664" t="s">
        <v>265</v>
      </c>
      <c r="K1664">
        <v>105128</v>
      </c>
      <c r="L1664" t="s">
        <v>282</v>
      </c>
      <c r="M1664">
        <v>0.04</v>
      </c>
    </row>
    <row r="1665" spans="1:13" x14ac:dyDescent="0.25">
      <c r="A1665">
        <v>2019</v>
      </c>
      <c r="B1665" t="s">
        <v>259</v>
      </c>
      <c r="C1665">
        <v>27019</v>
      </c>
      <c r="D1665" t="s">
        <v>271</v>
      </c>
      <c r="E1665" t="s">
        <v>261</v>
      </c>
      <c r="F1665" t="s">
        <v>268</v>
      </c>
      <c r="G1665" t="s">
        <v>269</v>
      </c>
      <c r="H1665">
        <v>119.57251449551801</v>
      </c>
      <c r="I1665" t="s">
        <v>264</v>
      </c>
      <c r="J1665" t="s">
        <v>265</v>
      </c>
      <c r="K1665">
        <v>105128</v>
      </c>
      <c r="L1665" t="s">
        <v>282</v>
      </c>
      <c r="M1665">
        <v>0</v>
      </c>
    </row>
    <row r="1666" spans="1:13" x14ac:dyDescent="0.25">
      <c r="A1666">
        <v>2019</v>
      </c>
      <c r="B1666" t="s">
        <v>259</v>
      </c>
      <c r="C1666">
        <v>27019</v>
      </c>
      <c r="D1666" t="s">
        <v>271</v>
      </c>
      <c r="E1666" t="s">
        <v>261</v>
      </c>
      <c r="F1666" t="s">
        <v>270</v>
      </c>
      <c r="G1666" t="s">
        <v>263</v>
      </c>
      <c r="H1666">
        <v>16411.093926032601</v>
      </c>
      <c r="I1666" t="s">
        <v>264</v>
      </c>
      <c r="J1666" t="s">
        <v>265</v>
      </c>
      <c r="K1666">
        <v>105128</v>
      </c>
      <c r="L1666" t="s">
        <v>282</v>
      </c>
      <c r="M1666">
        <v>0.16</v>
      </c>
    </row>
    <row r="1667" spans="1:13" x14ac:dyDescent="0.25">
      <c r="A1667">
        <v>2019</v>
      </c>
      <c r="B1667" t="s">
        <v>259</v>
      </c>
      <c r="C1667">
        <v>27019</v>
      </c>
      <c r="D1667" t="s">
        <v>271</v>
      </c>
      <c r="E1667" t="s">
        <v>261</v>
      </c>
      <c r="F1667" t="s">
        <v>270</v>
      </c>
      <c r="G1667" t="s">
        <v>267</v>
      </c>
      <c r="H1667">
        <v>86602.792797462302</v>
      </c>
      <c r="I1667" t="s">
        <v>264</v>
      </c>
      <c r="J1667" t="s">
        <v>265</v>
      </c>
      <c r="K1667">
        <v>105128</v>
      </c>
      <c r="L1667" t="s">
        <v>282</v>
      </c>
      <c r="M1667">
        <v>0.82</v>
      </c>
    </row>
    <row r="1668" spans="1:13" x14ac:dyDescent="0.25">
      <c r="A1668">
        <v>2019</v>
      </c>
      <c r="B1668" t="s">
        <v>259</v>
      </c>
      <c r="C1668">
        <v>27019</v>
      </c>
      <c r="D1668" t="s">
        <v>271</v>
      </c>
      <c r="E1668" t="s">
        <v>261</v>
      </c>
      <c r="F1668" t="s">
        <v>270</v>
      </c>
      <c r="G1668" t="s">
        <v>269</v>
      </c>
      <c r="H1668">
        <v>123.22075669522199</v>
      </c>
      <c r="I1668" t="s">
        <v>264</v>
      </c>
      <c r="J1668" t="s">
        <v>265</v>
      </c>
      <c r="K1668">
        <v>105128</v>
      </c>
      <c r="L1668" t="s">
        <v>282</v>
      </c>
      <c r="M1668">
        <v>0</v>
      </c>
    </row>
    <row r="1669" spans="1:13" x14ac:dyDescent="0.25">
      <c r="A1669">
        <v>2019</v>
      </c>
      <c r="B1669" t="s">
        <v>259</v>
      </c>
      <c r="C1669">
        <v>27025</v>
      </c>
      <c r="D1669" t="s">
        <v>272</v>
      </c>
      <c r="E1669" t="s">
        <v>261</v>
      </c>
      <c r="F1669" t="s">
        <v>262</v>
      </c>
      <c r="G1669" t="s">
        <v>263</v>
      </c>
      <c r="H1669">
        <v>266535.69317729701</v>
      </c>
      <c r="I1669" t="s">
        <v>264</v>
      </c>
      <c r="J1669" t="s">
        <v>265</v>
      </c>
      <c r="K1669">
        <v>56543</v>
      </c>
      <c r="L1669" t="s">
        <v>282</v>
      </c>
      <c r="M1669">
        <v>4.71</v>
      </c>
    </row>
    <row r="1670" spans="1:13" x14ac:dyDescent="0.25">
      <c r="A1670">
        <v>2019</v>
      </c>
      <c r="B1670" t="s">
        <v>259</v>
      </c>
      <c r="C1670">
        <v>27025</v>
      </c>
      <c r="D1670" t="s">
        <v>272</v>
      </c>
      <c r="E1670" t="s">
        <v>261</v>
      </c>
      <c r="F1670" t="s">
        <v>262</v>
      </c>
      <c r="G1670" t="s">
        <v>267</v>
      </c>
      <c r="H1670">
        <v>12447.0936389008</v>
      </c>
      <c r="I1670" t="s">
        <v>264</v>
      </c>
      <c r="J1670" t="s">
        <v>265</v>
      </c>
      <c r="K1670">
        <v>56543</v>
      </c>
      <c r="L1670" t="s">
        <v>282</v>
      </c>
      <c r="M1670">
        <v>0.22</v>
      </c>
    </row>
    <row r="1671" spans="1:13" x14ac:dyDescent="0.25">
      <c r="A1671">
        <v>2019</v>
      </c>
      <c r="B1671" t="s">
        <v>259</v>
      </c>
      <c r="C1671">
        <v>27025</v>
      </c>
      <c r="D1671" t="s">
        <v>272</v>
      </c>
      <c r="E1671" t="s">
        <v>261</v>
      </c>
      <c r="F1671" t="s">
        <v>262</v>
      </c>
      <c r="G1671" t="s">
        <v>269</v>
      </c>
      <c r="H1671">
        <v>605.59113048388201</v>
      </c>
      <c r="I1671" t="s">
        <v>264</v>
      </c>
      <c r="J1671" t="s">
        <v>265</v>
      </c>
      <c r="K1671">
        <v>56543</v>
      </c>
      <c r="L1671" t="s">
        <v>282</v>
      </c>
      <c r="M1671">
        <v>0.01</v>
      </c>
    </row>
    <row r="1672" spans="1:13" x14ac:dyDescent="0.25">
      <c r="A1672">
        <v>2019</v>
      </c>
      <c r="B1672" t="s">
        <v>259</v>
      </c>
      <c r="C1672">
        <v>27025</v>
      </c>
      <c r="D1672" t="s">
        <v>272</v>
      </c>
      <c r="E1672" t="s">
        <v>261</v>
      </c>
      <c r="F1672" t="s">
        <v>268</v>
      </c>
      <c r="G1672" t="s">
        <v>263</v>
      </c>
      <c r="H1672">
        <v>473.40976518557699</v>
      </c>
      <c r="I1672" t="s">
        <v>264</v>
      </c>
      <c r="J1672" t="s">
        <v>265</v>
      </c>
      <c r="K1672">
        <v>56543</v>
      </c>
      <c r="L1672" t="s">
        <v>282</v>
      </c>
      <c r="M1672">
        <v>0.01</v>
      </c>
    </row>
    <row r="1673" spans="1:13" x14ac:dyDescent="0.25">
      <c r="A1673">
        <v>2019</v>
      </c>
      <c r="B1673" t="s">
        <v>259</v>
      </c>
      <c r="C1673">
        <v>27025</v>
      </c>
      <c r="D1673" t="s">
        <v>272</v>
      </c>
      <c r="E1673" t="s">
        <v>261</v>
      </c>
      <c r="F1673" t="s">
        <v>268</v>
      </c>
      <c r="G1673" t="s">
        <v>267</v>
      </c>
      <c r="H1673">
        <v>3654.6903150605299</v>
      </c>
      <c r="I1673" t="s">
        <v>264</v>
      </c>
      <c r="J1673" t="s">
        <v>265</v>
      </c>
      <c r="K1673">
        <v>56543</v>
      </c>
      <c r="L1673" t="s">
        <v>282</v>
      </c>
      <c r="M1673">
        <v>0.06</v>
      </c>
    </row>
    <row r="1674" spans="1:13" x14ac:dyDescent="0.25">
      <c r="A1674">
        <v>2019</v>
      </c>
      <c r="B1674" t="s">
        <v>259</v>
      </c>
      <c r="C1674">
        <v>27025</v>
      </c>
      <c r="D1674" t="s">
        <v>272</v>
      </c>
      <c r="E1674" t="s">
        <v>261</v>
      </c>
      <c r="F1674" t="s">
        <v>268</v>
      </c>
      <c r="G1674" t="s">
        <v>269</v>
      </c>
      <c r="H1674">
        <v>86.200174823387798</v>
      </c>
      <c r="I1674" t="s">
        <v>264</v>
      </c>
      <c r="J1674" t="s">
        <v>265</v>
      </c>
      <c r="K1674">
        <v>56543</v>
      </c>
      <c r="L1674" t="s">
        <v>282</v>
      </c>
      <c r="M1674">
        <v>0</v>
      </c>
    </row>
    <row r="1675" spans="1:13" x14ac:dyDescent="0.25">
      <c r="A1675">
        <v>2019</v>
      </c>
      <c r="B1675" t="s">
        <v>259</v>
      </c>
      <c r="C1675">
        <v>27025</v>
      </c>
      <c r="D1675" t="s">
        <v>272</v>
      </c>
      <c r="E1675" t="s">
        <v>261</v>
      </c>
      <c r="F1675" t="s">
        <v>270</v>
      </c>
      <c r="G1675" t="s">
        <v>263</v>
      </c>
      <c r="H1675">
        <v>12185.474157492101</v>
      </c>
      <c r="I1675" t="s">
        <v>264</v>
      </c>
      <c r="J1675" t="s">
        <v>265</v>
      </c>
      <c r="K1675">
        <v>56543</v>
      </c>
      <c r="L1675" t="s">
        <v>282</v>
      </c>
      <c r="M1675">
        <v>0.22</v>
      </c>
    </row>
    <row r="1676" spans="1:13" x14ac:dyDescent="0.25">
      <c r="A1676">
        <v>2019</v>
      </c>
      <c r="B1676" t="s">
        <v>259</v>
      </c>
      <c r="C1676">
        <v>27025</v>
      </c>
      <c r="D1676" t="s">
        <v>272</v>
      </c>
      <c r="E1676" t="s">
        <v>261</v>
      </c>
      <c r="F1676" t="s">
        <v>270</v>
      </c>
      <c r="G1676" t="s">
        <v>267</v>
      </c>
      <c r="H1676">
        <v>78430.090464566601</v>
      </c>
      <c r="I1676" t="s">
        <v>264</v>
      </c>
      <c r="J1676" t="s">
        <v>265</v>
      </c>
      <c r="K1676">
        <v>56543</v>
      </c>
      <c r="L1676" t="s">
        <v>282</v>
      </c>
      <c r="M1676">
        <v>1.39</v>
      </c>
    </row>
    <row r="1677" spans="1:13" x14ac:dyDescent="0.25">
      <c r="A1677">
        <v>2019</v>
      </c>
      <c r="B1677" t="s">
        <v>259</v>
      </c>
      <c r="C1677">
        <v>27025</v>
      </c>
      <c r="D1677" t="s">
        <v>272</v>
      </c>
      <c r="E1677" t="s">
        <v>261</v>
      </c>
      <c r="F1677" t="s">
        <v>270</v>
      </c>
      <c r="G1677" t="s">
        <v>269</v>
      </c>
      <c r="H1677">
        <v>41.670819979911101</v>
      </c>
      <c r="I1677" t="s">
        <v>264</v>
      </c>
      <c r="J1677" t="s">
        <v>265</v>
      </c>
      <c r="K1677">
        <v>56543</v>
      </c>
      <c r="L1677" t="s">
        <v>282</v>
      </c>
      <c r="M1677">
        <v>0</v>
      </c>
    </row>
    <row r="1678" spans="1:13" x14ac:dyDescent="0.25">
      <c r="A1678">
        <v>2019</v>
      </c>
      <c r="B1678" t="s">
        <v>259</v>
      </c>
      <c r="C1678">
        <v>27037</v>
      </c>
      <c r="D1678" t="s">
        <v>273</v>
      </c>
      <c r="E1678" t="s">
        <v>261</v>
      </c>
      <c r="F1678" t="s">
        <v>262</v>
      </c>
      <c r="G1678" t="s">
        <v>263</v>
      </c>
      <c r="H1678">
        <v>1311371.6348117399</v>
      </c>
      <c r="I1678" t="s">
        <v>264</v>
      </c>
      <c r="J1678" t="s">
        <v>265</v>
      </c>
      <c r="K1678">
        <v>429453</v>
      </c>
      <c r="L1678" t="s">
        <v>282</v>
      </c>
      <c r="M1678">
        <v>3.05</v>
      </c>
    </row>
    <row r="1679" spans="1:13" x14ac:dyDescent="0.25">
      <c r="A1679">
        <v>2019</v>
      </c>
      <c r="B1679" t="s">
        <v>259</v>
      </c>
      <c r="C1679">
        <v>27037</v>
      </c>
      <c r="D1679" t="s">
        <v>273</v>
      </c>
      <c r="E1679" t="s">
        <v>261</v>
      </c>
      <c r="F1679" t="s">
        <v>262</v>
      </c>
      <c r="G1679" t="s">
        <v>267</v>
      </c>
      <c r="H1679">
        <v>18635.615592445702</v>
      </c>
      <c r="I1679" t="s">
        <v>264</v>
      </c>
      <c r="J1679" t="s">
        <v>265</v>
      </c>
      <c r="K1679">
        <v>429453</v>
      </c>
      <c r="L1679" t="s">
        <v>282</v>
      </c>
      <c r="M1679">
        <v>0.04</v>
      </c>
    </row>
    <row r="1680" spans="1:13" x14ac:dyDescent="0.25">
      <c r="A1680">
        <v>2019</v>
      </c>
      <c r="B1680" t="s">
        <v>259</v>
      </c>
      <c r="C1680">
        <v>27037</v>
      </c>
      <c r="D1680" t="s">
        <v>273</v>
      </c>
      <c r="E1680" t="s">
        <v>261</v>
      </c>
      <c r="F1680" t="s">
        <v>262</v>
      </c>
      <c r="G1680" t="s">
        <v>269</v>
      </c>
      <c r="H1680">
        <v>2230.3041525418298</v>
      </c>
      <c r="I1680" t="s">
        <v>264</v>
      </c>
      <c r="J1680" t="s">
        <v>265</v>
      </c>
      <c r="K1680">
        <v>429453</v>
      </c>
      <c r="L1680" t="s">
        <v>282</v>
      </c>
      <c r="M1680">
        <v>0.01</v>
      </c>
    </row>
    <row r="1681" spans="1:13" x14ac:dyDescent="0.25">
      <c r="A1681">
        <v>2019</v>
      </c>
      <c r="B1681" t="s">
        <v>259</v>
      </c>
      <c r="C1681">
        <v>27037</v>
      </c>
      <c r="D1681" t="s">
        <v>273</v>
      </c>
      <c r="E1681" t="s">
        <v>261</v>
      </c>
      <c r="F1681" t="s">
        <v>268</v>
      </c>
      <c r="G1681" t="s">
        <v>263</v>
      </c>
      <c r="H1681">
        <v>2428.9067659515199</v>
      </c>
      <c r="I1681" t="s">
        <v>264</v>
      </c>
      <c r="J1681" t="s">
        <v>265</v>
      </c>
      <c r="K1681">
        <v>429453</v>
      </c>
      <c r="L1681" t="s">
        <v>282</v>
      </c>
      <c r="M1681">
        <v>0.01</v>
      </c>
    </row>
    <row r="1682" spans="1:13" x14ac:dyDescent="0.25">
      <c r="A1682">
        <v>2019</v>
      </c>
      <c r="B1682" t="s">
        <v>259</v>
      </c>
      <c r="C1682">
        <v>27037</v>
      </c>
      <c r="D1682" t="s">
        <v>273</v>
      </c>
      <c r="E1682" t="s">
        <v>261</v>
      </c>
      <c r="F1682" t="s">
        <v>268</v>
      </c>
      <c r="G1682" t="s">
        <v>267</v>
      </c>
      <c r="H1682">
        <v>18911.729384548002</v>
      </c>
      <c r="I1682" t="s">
        <v>264</v>
      </c>
      <c r="J1682" t="s">
        <v>265</v>
      </c>
      <c r="K1682">
        <v>429453</v>
      </c>
      <c r="L1682" t="s">
        <v>282</v>
      </c>
      <c r="M1682">
        <v>0.04</v>
      </c>
    </row>
    <row r="1683" spans="1:13" x14ac:dyDescent="0.25">
      <c r="A1683">
        <v>2019</v>
      </c>
      <c r="B1683" t="s">
        <v>259</v>
      </c>
      <c r="C1683">
        <v>27037</v>
      </c>
      <c r="D1683" t="s">
        <v>273</v>
      </c>
      <c r="E1683" t="s">
        <v>261</v>
      </c>
      <c r="F1683" t="s">
        <v>268</v>
      </c>
      <c r="G1683" t="s">
        <v>269</v>
      </c>
      <c r="H1683">
        <v>28.050525414105099</v>
      </c>
      <c r="I1683" t="s">
        <v>264</v>
      </c>
      <c r="J1683" t="s">
        <v>265</v>
      </c>
      <c r="K1683">
        <v>429453</v>
      </c>
      <c r="L1683" t="s">
        <v>282</v>
      </c>
      <c r="M1683">
        <v>0</v>
      </c>
    </row>
    <row r="1684" spans="1:13" x14ac:dyDescent="0.25">
      <c r="A1684">
        <v>2019</v>
      </c>
      <c r="B1684" t="s">
        <v>259</v>
      </c>
      <c r="C1684">
        <v>27037</v>
      </c>
      <c r="D1684" t="s">
        <v>273</v>
      </c>
      <c r="E1684" t="s">
        <v>261</v>
      </c>
      <c r="F1684" t="s">
        <v>270</v>
      </c>
      <c r="G1684" t="s">
        <v>263</v>
      </c>
      <c r="H1684">
        <v>79177.483770749604</v>
      </c>
      <c r="I1684" t="s">
        <v>264</v>
      </c>
      <c r="J1684" t="s">
        <v>265</v>
      </c>
      <c r="K1684">
        <v>429453</v>
      </c>
      <c r="L1684" t="s">
        <v>282</v>
      </c>
      <c r="M1684">
        <v>0.18</v>
      </c>
    </row>
    <row r="1685" spans="1:13" x14ac:dyDescent="0.25">
      <c r="A1685">
        <v>2019</v>
      </c>
      <c r="B1685" t="s">
        <v>259</v>
      </c>
      <c r="C1685">
        <v>27037</v>
      </c>
      <c r="D1685" t="s">
        <v>273</v>
      </c>
      <c r="E1685" t="s">
        <v>261</v>
      </c>
      <c r="F1685" t="s">
        <v>270</v>
      </c>
      <c r="G1685" t="s">
        <v>267</v>
      </c>
      <c r="H1685">
        <v>403991.93170923798</v>
      </c>
      <c r="I1685" t="s">
        <v>264</v>
      </c>
      <c r="J1685" t="s">
        <v>265</v>
      </c>
      <c r="K1685">
        <v>429453</v>
      </c>
      <c r="L1685" t="s">
        <v>282</v>
      </c>
      <c r="M1685">
        <v>0.94</v>
      </c>
    </row>
    <row r="1686" spans="1:13" x14ac:dyDescent="0.25">
      <c r="A1686">
        <v>2019</v>
      </c>
      <c r="B1686" t="s">
        <v>259</v>
      </c>
      <c r="C1686">
        <v>27037</v>
      </c>
      <c r="D1686" t="s">
        <v>273</v>
      </c>
      <c r="E1686" t="s">
        <v>261</v>
      </c>
      <c r="F1686" t="s">
        <v>270</v>
      </c>
      <c r="G1686" t="s">
        <v>269</v>
      </c>
      <c r="H1686">
        <v>221.14484709938799</v>
      </c>
      <c r="I1686" t="s">
        <v>264</v>
      </c>
      <c r="J1686" t="s">
        <v>265</v>
      </c>
      <c r="K1686">
        <v>429453</v>
      </c>
      <c r="L1686" t="s">
        <v>282</v>
      </c>
      <c r="M1686">
        <v>0</v>
      </c>
    </row>
    <row r="1687" spans="1:13" x14ac:dyDescent="0.25">
      <c r="A1687">
        <v>2019</v>
      </c>
      <c r="B1687" t="s">
        <v>259</v>
      </c>
      <c r="C1687">
        <v>27053</v>
      </c>
      <c r="D1687" t="s">
        <v>274</v>
      </c>
      <c r="E1687" t="s">
        <v>261</v>
      </c>
      <c r="F1687" t="s">
        <v>262</v>
      </c>
      <c r="G1687" t="s">
        <v>263</v>
      </c>
      <c r="H1687">
        <v>3585176.6297704098</v>
      </c>
      <c r="I1687" t="s">
        <v>264</v>
      </c>
      <c r="J1687" t="s">
        <v>265</v>
      </c>
      <c r="K1687">
        <v>1265159</v>
      </c>
      <c r="L1687" t="s">
        <v>282</v>
      </c>
      <c r="M1687">
        <v>2.83</v>
      </c>
    </row>
    <row r="1688" spans="1:13" x14ac:dyDescent="0.25">
      <c r="A1688">
        <v>2019</v>
      </c>
      <c r="B1688" t="s">
        <v>259</v>
      </c>
      <c r="C1688">
        <v>27053</v>
      </c>
      <c r="D1688" t="s">
        <v>274</v>
      </c>
      <c r="E1688" t="s">
        <v>261</v>
      </c>
      <c r="F1688" t="s">
        <v>262</v>
      </c>
      <c r="G1688" t="s">
        <v>267</v>
      </c>
      <c r="H1688">
        <v>37108.522595941198</v>
      </c>
      <c r="I1688" t="s">
        <v>264</v>
      </c>
      <c r="J1688" t="s">
        <v>265</v>
      </c>
      <c r="K1688">
        <v>1265159</v>
      </c>
      <c r="L1688" t="s">
        <v>282</v>
      </c>
      <c r="M1688">
        <v>0.03</v>
      </c>
    </row>
    <row r="1689" spans="1:13" x14ac:dyDescent="0.25">
      <c r="A1689">
        <v>2019</v>
      </c>
      <c r="B1689" t="s">
        <v>259</v>
      </c>
      <c r="C1689">
        <v>27053</v>
      </c>
      <c r="D1689" t="s">
        <v>274</v>
      </c>
      <c r="E1689" t="s">
        <v>261</v>
      </c>
      <c r="F1689" t="s">
        <v>262</v>
      </c>
      <c r="G1689" t="s">
        <v>269</v>
      </c>
      <c r="H1689">
        <v>5001.2673075774601</v>
      </c>
      <c r="I1689" t="s">
        <v>264</v>
      </c>
      <c r="J1689" t="s">
        <v>265</v>
      </c>
      <c r="K1689">
        <v>1265159</v>
      </c>
      <c r="L1689" t="s">
        <v>282</v>
      </c>
      <c r="M1689">
        <v>0</v>
      </c>
    </row>
    <row r="1690" spans="1:13" x14ac:dyDescent="0.25">
      <c r="A1690">
        <v>2019</v>
      </c>
      <c r="B1690" t="s">
        <v>259</v>
      </c>
      <c r="C1690">
        <v>27053</v>
      </c>
      <c r="D1690" t="s">
        <v>274</v>
      </c>
      <c r="E1690" t="s">
        <v>261</v>
      </c>
      <c r="F1690" t="s">
        <v>268</v>
      </c>
      <c r="G1690" t="s">
        <v>263</v>
      </c>
      <c r="H1690">
        <v>8575.0046698106107</v>
      </c>
      <c r="I1690" t="s">
        <v>264</v>
      </c>
      <c r="J1690" t="s">
        <v>265</v>
      </c>
      <c r="K1690">
        <v>1265159</v>
      </c>
      <c r="L1690" t="s">
        <v>282</v>
      </c>
      <c r="M1690">
        <v>0.01</v>
      </c>
    </row>
    <row r="1691" spans="1:13" x14ac:dyDescent="0.25">
      <c r="A1691">
        <v>2019</v>
      </c>
      <c r="B1691" t="s">
        <v>259</v>
      </c>
      <c r="C1691">
        <v>27053</v>
      </c>
      <c r="D1691" t="s">
        <v>274</v>
      </c>
      <c r="E1691" t="s">
        <v>261</v>
      </c>
      <c r="F1691" t="s">
        <v>268</v>
      </c>
      <c r="G1691" t="s">
        <v>267</v>
      </c>
      <c r="H1691">
        <v>53270.135638249201</v>
      </c>
      <c r="I1691" t="s">
        <v>264</v>
      </c>
      <c r="J1691" t="s">
        <v>265</v>
      </c>
      <c r="K1691">
        <v>1265159</v>
      </c>
      <c r="L1691" t="s">
        <v>282</v>
      </c>
      <c r="M1691">
        <v>0.04</v>
      </c>
    </row>
    <row r="1692" spans="1:13" x14ac:dyDescent="0.25">
      <c r="A1692">
        <v>2019</v>
      </c>
      <c r="B1692" t="s">
        <v>259</v>
      </c>
      <c r="C1692">
        <v>27053</v>
      </c>
      <c r="D1692" t="s">
        <v>274</v>
      </c>
      <c r="E1692" t="s">
        <v>261</v>
      </c>
      <c r="F1692" t="s">
        <v>268</v>
      </c>
      <c r="G1692" t="s">
        <v>269</v>
      </c>
      <c r="H1692">
        <v>8.5713125474816701E-2</v>
      </c>
      <c r="I1692" t="s">
        <v>264</v>
      </c>
      <c r="J1692" t="s">
        <v>265</v>
      </c>
      <c r="K1692">
        <v>1265159</v>
      </c>
      <c r="L1692" t="s">
        <v>282</v>
      </c>
      <c r="M1692">
        <v>0</v>
      </c>
    </row>
    <row r="1693" spans="1:13" x14ac:dyDescent="0.25">
      <c r="A1693">
        <v>2019</v>
      </c>
      <c r="B1693" t="s">
        <v>259</v>
      </c>
      <c r="C1693">
        <v>27053</v>
      </c>
      <c r="D1693" t="s">
        <v>274</v>
      </c>
      <c r="E1693" t="s">
        <v>261</v>
      </c>
      <c r="F1693" t="s">
        <v>270</v>
      </c>
      <c r="G1693" t="s">
        <v>263</v>
      </c>
      <c r="H1693">
        <v>333206.54600743001</v>
      </c>
      <c r="I1693" t="s">
        <v>264</v>
      </c>
      <c r="J1693" t="s">
        <v>265</v>
      </c>
      <c r="K1693">
        <v>1265159</v>
      </c>
      <c r="L1693" t="s">
        <v>282</v>
      </c>
      <c r="M1693">
        <v>0.26</v>
      </c>
    </row>
    <row r="1694" spans="1:13" x14ac:dyDescent="0.25">
      <c r="A1694">
        <v>2019</v>
      </c>
      <c r="B1694" t="s">
        <v>259</v>
      </c>
      <c r="C1694">
        <v>27053</v>
      </c>
      <c r="D1694" t="s">
        <v>274</v>
      </c>
      <c r="E1694" t="s">
        <v>261</v>
      </c>
      <c r="F1694" t="s">
        <v>270</v>
      </c>
      <c r="G1694" t="s">
        <v>267</v>
      </c>
      <c r="H1694">
        <v>1084131.9728372199</v>
      </c>
      <c r="I1694" t="s">
        <v>264</v>
      </c>
      <c r="J1694" t="s">
        <v>265</v>
      </c>
      <c r="K1694">
        <v>1265159</v>
      </c>
      <c r="L1694" t="s">
        <v>282</v>
      </c>
      <c r="M1694">
        <v>0.86</v>
      </c>
    </row>
    <row r="1695" spans="1:13" x14ac:dyDescent="0.25">
      <c r="A1695">
        <v>2019</v>
      </c>
      <c r="B1695" t="s">
        <v>259</v>
      </c>
      <c r="C1695">
        <v>27053</v>
      </c>
      <c r="D1695" t="s">
        <v>274</v>
      </c>
      <c r="E1695" t="s">
        <v>261</v>
      </c>
      <c r="F1695" t="s">
        <v>270</v>
      </c>
      <c r="G1695" t="s">
        <v>269</v>
      </c>
      <c r="H1695">
        <v>782.67877151603204</v>
      </c>
      <c r="I1695" t="s">
        <v>264</v>
      </c>
      <c r="J1695" t="s">
        <v>265</v>
      </c>
      <c r="K1695">
        <v>1265159</v>
      </c>
      <c r="L1695" t="s">
        <v>282</v>
      </c>
      <c r="M1695">
        <v>0</v>
      </c>
    </row>
    <row r="1696" spans="1:13" x14ac:dyDescent="0.25">
      <c r="A1696">
        <v>2019</v>
      </c>
      <c r="B1696" t="s">
        <v>259</v>
      </c>
      <c r="C1696">
        <v>27123</v>
      </c>
      <c r="D1696" t="s">
        <v>275</v>
      </c>
      <c r="E1696" t="s">
        <v>261</v>
      </c>
      <c r="F1696" t="s">
        <v>262</v>
      </c>
      <c r="G1696" t="s">
        <v>263</v>
      </c>
      <c r="H1696">
        <v>1497753.12212979</v>
      </c>
      <c r="I1696" t="s">
        <v>264</v>
      </c>
      <c r="J1696" t="s">
        <v>265</v>
      </c>
      <c r="K1696">
        <v>549632</v>
      </c>
      <c r="L1696" t="s">
        <v>282</v>
      </c>
      <c r="M1696">
        <v>2.73</v>
      </c>
    </row>
    <row r="1697" spans="1:13" x14ac:dyDescent="0.25">
      <c r="A1697">
        <v>2019</v>
      </c>
      <c r="B1697" t="s">
        <v>259</v>
      </c>
      <c r="C1697">
        <v>27123</v>
      </c>
      <c r="D1697" t="s">
        <v>275</v>
      </c>
      <c r="E1697" t="s">
        <v>261</v>
      </c>
      <c r="F1697" t="s">
        <v>262</v>
      </c>
      <c r="G1697" t="s">
        <v>267</v>
      </c>
      <c r="H1697">
        <v>15061.721339346999</v>
      </c>
      <c r="I1697" t="s">
        <v>264</v>
      </c>
      <c r="J1697" t="s">
        <v>265</v>
      </c>
      <c r="K1697">
        <v>549632</v>
      </c>
      <c r="L1697" t="s">
        <v>282</v>
      </c>
      <c r="M1697">
        <v>0.03</v>
      </c>
    </row>
    <row r="1698" spans="1:13" x14ac:dyDescent="0.25">
      <c r="A1698">
        <v>2019</v>
      </c>
      <c r="B1698" t="s">
        <v>259</v>
      </c>
      <c r="C1698">
        <v>27123</v>
      </c>
      <c r="D1698" t="s">
        <v>275</v>
      </c>
      <c r="E1698" t="s">
        <v>261</v>
      </c>
      <c r="F1698" t="s">
        <v>262</v>
      </c>
      <c r="G1698" t="s">
        <v>269</v>
      </c>
      <c r="H1698">
        <v>1954.7527788130801</v>
      </c>
      <c r="I1698" t="s">
        <v>264</v>
      </c>
      <c r="J1698" t="s">
        <v>265</v>
      </c>
      <c r="K1698">
        <v>549632</v>
      </c>
      <c r="L1698" t="s">
        <v>282</v>
      </c>
      <c r="M1698">
        <v>0</v>
      </c>
    </row>
    <row r="1699" spans="1:13" x14ac:dyDescent="0.25">
      <c r="A1699">
        <v>2019</v>
      </c>
      <c r="B1699" t="s">
        <v>259</v>
      </c>
      <c r="C1699">
        <v>27123</v>
      </c>
      <c r="D1699" t="s">
        <v>275</v>
      </c>
      <c r="E1699" t="s">
        <v>261</v>
      </c>
      <c r="F1699" t="s">
        <v>268</v>
      </c>
      <c r="G1699" t="s">
        <v>263</v>
      </c>
      <c r="H1699">
        <v>3744.7172385010899</v>
      </c>
      <c r="I1699" t="s">
        <v>264</v>
      </c>
      <c r="J1699" t="s">
        <v>265</v>
      </c>
      <c r="K1699">
        <v>549632</v>
      </c>
      <c r="L1699" t="s">
        <v>282</v>
      </c>
      <c r="M1699">
        <v>0.01</v>
      </c>
    </row>
    <row r="1700" spans="1:13" x14ac:dyDescent="0.25">
      <c r="A1700">
        <v>2019</v>
      </c>
      <c r="B1700" t="s">
        <v>259</v>
      </c>
      <c r="C1700">
        <v>27123</v>
      </c>
      <c r="D1700" t="s">
        <v>275</v>
      </c>
      <c r="E1700" t="s">
        <v>261</v>
      </c>
      <c r="F1700" t="s">
        <v>268</v>
      </c>
      <c r="G1700" t="s">
        <v>267</v>
      </c>
      <c r="H1700">
        <v>20383.231103900602</v>
      </c>
      <c r="I1700" t="s">
        <v>264</v>
      </c>
      <c r="J1700" t="s">
        <v>265</v>
      </c>
      <c r="K1700">
        <v>549632</v>
      </c>
      <c r="L1700" t="s">
        <v>282</v>
      </c>
      <c r="M1700">
        <v>0.04</v>
      </c>
    </row>
    <row r="1701" spans="1:13" x14ac:dyDescent="0.25">
      <c r="A1701">
        <v>2019</v>
      </c>
      <c r="B1701" t="s">
        <v>259</v>
      </c>
      <c r="C1701">
        <v>27123</v>
      </c>
      <c r="D1701" t="s">
        <v>275</v>
      </c>
      <c r="E1701" t="s">
        <v>261</v>
      </c>
      <c r="F1701" t="s">
        <v>268</v>
      </c>
      <c r="G1701" t="s">
        <v>269</v>
      </c>
      <c r="H1701">
        <v>101.142055552442</v>
      </c>
      <c r="I1701" t="s">
        <v>264</v>
      </c>
      <c r="J1701" t="s">
        <v>265</v>
      </c>
      <c r="K1701">
        <v>549632</v>
      </c>
      <c r="L1701" t="s">
        <v>282</v>
      </c>
      <c r="M1701">
        <v>0</v>
      </c>
    </row>
    <row r="1702" spans="1:13" x14ac:dyDescent="0.25">
      <c r="A1702">
        <v>2019</v>
      </c>
      <c r="B1702" t="s">
        <v>259</v>
      </c>
      <c r="C1702">
        <v>27123</v>
      </c>
      <c r="D1702" t="s">
        <v>275</v>
      </c>
      <c r="E1702" t="s">
        <v>261</v>
      </c>
      <c r="F1702" t="s">
        <v>270</v>
      </c>
      <c r="G1702" t="s">
        <v>263</v>
      </c>
      <c r="H1702">
        <v>128705.131232983</v>
      </c>
      <c r="I1702" t="s">
        <v>264</v>
      </c>
      <c r="J1702" t="s">
        <v>265</v>
      </c>
      <c r="K1702">
        <v>549632</v>
      </c>
      <c r="L1702" t="s">
        <v>282</v>
      </c>
      <c r="M1702">
        <v>0.23</v>
      </c>
    </row>
    <row r="1703" spans="1:13" x14ac:dyDescent="0.25">
      <c r="A1703">
        <v>2019</v>
      </c>
      <c r="B1703" t="s">
        <v>259</v>
      </c>
      <c r="C1703">
        <v>27123</v>
      </c>
      <c r="D1703" t="s">
        <v>275</v>
      </c>
      <c r="E1703" t="s">
        <v>261</v>
      </c>
      <c r="F1703" t="s">
        <v>270</v>
      </c>
      <c r="G1703" t="s">
        <v>267</v>
      </c>
      <c r="H1703">
        <v>453660.86663133401</v>
      </c>
      <c r="I1703" t="s">
        <v>264</v>
      </c>
      <c r="J1703" t="s">
        <v>265</v>
      </c>
      <c r="K1703">
        <v>549632</v>
      </c>
      <c r="L1703" t="s">
        <v>282</v>
      </c>
      <c r="M1703">
        <v>0.83</v>
      </c>
    </row>
    <row r="1704" spans="1:13" x14ac:dyDescent="0.25">
      <c r="A1704">
        <v>2019</v>
      </c>
      <c r="B1704" t="s">
        <v>259</v>
      </c>
      <c r="C1704">
        <v>27123</v>
      </c>
      <c r="D1704" t="s">
        <v>275</v>
      </c>
      <c r="E1704" t="s">
        <v>261</v>
      </c>
      <c r="F1704" t="s">
        <v>270</v>
      </c>
      <c r="G1704" t="s">
        <v>269</v>
      </c>
      <c r="H1704">
        <v>370.52778464426598</v>
      </c>
      <c r="I1704" t="s">
        <v>264</v>
      </c>
      <c r="J1704" t="s">
        <v>265</v>
      </c>
      <c r="K1704">
        <v>549632</v>
      </c>
      <c r="L1704" t="s">
        <v>282</v>
      </c>
      <c r="M1704">
        <v>0</v>
      </c>
    </row>
    <row r="1705" spans="1:13" x14ac:dyDescent="0.25">
      <c r="A1705">
        <v>2019</v>
      </c>
      <c r="B1705" t="s">
        <v>259</v>
      </c>
      <c r="C1705">
        <v>27139</v>
      </c>
      <c r="D1705" t="s">
        <v>276</v>
      </c>
      <c r="E1705" t="s">
        <v>261</v>
      </c>
      <c r="F1705" t="s">
        <v>262</v>
      </c>
      <c r="G1705" t="s">
        <v>263</v>
      </c>
      <c r="H1705">
        <v>446595.792931251</v>
      </c>
      <c r="I1705" t="s">
        <v>264</v>
      </c>
      <c r="J1705" t="s">
        <v>265</v>
      </c>
      <c r="K1705">
        <v>149004</v>
      </c>
      <c r="L1705" t="s">
        <v>282</v>
      </c>
      <c r="M1705">
        <v>3</v>
      </c>
    </row>
    <row r="1706" spans="1:13" x14ac:dyDescent="0.25">
      <c r="A1706">
        <v>2019</v>
      </c>
      <c r="B1706" t="s">
        <v>259</v>
      </c>
      <c r="C1706">
        <v>27139</v>
      </c>
      <c r="D1706" t="s">
        <v>276</v>
      </c>
      <c r="E1706" t="s">
        <v>261</v>
      </c>
      <c r="F1706" t="s">
        <v>262</v>
      </c>
      <c r="G1706" t="s">
        <v>267</v>
      </c>
      <c r="H1706">
        <v>10385.383571672999</v>
      </c>
      <c r="I1706" t="s">
        <v>264</v>
      </c>
      <c r="J1706" t="s">
        <v>265</v>
      </c>
      <c r="K1706">
        <v>149004</v>
      </c>
      <c r="L1706" t="s">
        <v>282</v>
      </c>
      <c r="M1706">
        <v>7.0000000000000007E-2</v>
      </c>
    </row>
    <row r="1707" spans="1:13" x14ac:dyDescent="0.25">
      <c r="A1707">
        <v>2019</v>
      </c>
      <c r="B1707" t="s">
        <v>259</v>
      </c>
      <c r="C1707">
        <v>27139</v>
      </c>
      <c r="D1707" t="s">
        <v>276</v>
      </c>
      <c r="E1707" t="s">
        <v>261</v>
      </c>
      <c r="F1707" t="s">
        <v>262</v>
      </c>
      <c r="G1707" t="s">
        <v>269</v>
      </c>
      <c r="H1707">
        <v>868.63209510319496</v>
      </c>
      <c r="I1707" t="s">
        <v>264</v>
      </c>
      <c r="J1707" t="s">
        <v>265</v>
      </c>
      <c r="K1707">
        <v>149004</v>
      </c>
      <c r="L1707" t="s">
        <v>282</v>
      </c>
      <c r="M1707">
        <v>0.01</v>
      </c>
    </row>
    <row r="1708" spans="1:13" x14ac:dyDescent="0.25">
      <c r="A1708">
        <v>2019</v>
      </c>
      <c r="B1708" t="s">
        <v>259</v>
      </c>
      <c r="C1708">
        <v>27139</v>
      </c>
      <c r="D1708" t="s">
        <v>276</v>
      </c>
      <c r="E1708" t="s">
        <v>261</v>
      </c>
      <c r="F1708" t="s">
        <v>268</v>
      </c>
      <c r="G1708" t="s">
        <v>263</v>
      </c>
      <c r="H1708">
        <v>976.87906754807</v>
      </c>
      <c r="I1708" t="s">
        <v>264</v>
      </c>
      <c r="J1708" t="s">
        <v>265</v>
      </c>
      <c r="K1708">
        <v>149004</v>
      </c>
      <c r="L1708" t="s">
        <v>282</v>
      </c>
      <c r="M1708">
        <v>0.01</v>
      </c>
    </row>
    <row r="1709" spans="1:13" x14ac:dyDescent="0.25">
      <c r="A1709">
        <v>2019</v>
      </c>
      <c r="B1709" t="s">
        <v>259</v>
      </c>
      <c r="C1709">
        <v>27139</v>
      </c>
      <c r="D1709" t="s">
        <v>276</v>
      </c>
      <c r="E1709" t="s">
        <v>261</v>
      </c>
      <c r="F1709" t="s">
        <v>268</v>
      </c>
      <c r="G1709" t="s">
        <v>267</v>
      </c>
      <c r="H1709">
        <v>6235.1680202337202</v>
      </c>
      <c r="I1709" t="s">
        <v>264</v>
      </c>
      <c r="J1709" t="s">
        <v>265</v>
      </c>
      <c r="K1709">
        <v>149004</v>
      </c>
      <c r="L1709" t="s">
        <v>282</v>
      </c>
      <c r="M1709">
        <v>0.04</v>
      </c>
    </row>
    <row r="1710" spans="1:13" x14ac:dyDescent="0.25">
      <c r="A1710">
        <v>2019</v>
      </c>
      <c r="B1710" t="s">
        <v>259</v>
      </c>
      <c r="C1710">
        <v>27139</v>
      </c>
      <c r="D1710" t="s">
        <v>276</v>
      </c>
      <c r="E1710" t="s">
        <v>261</v>
      </c>
      <c r="F1710" t="s">
        <v>268</v>
      </c>
      <c r="G1710" t="s">
        <v>269</v>
      </c>
      <c r="H1710">
        <v>78.258079143213294</v>
      </c>
      <c r="I1710" t="s">
        <v>264</v>
      </c>
      <c r="J1710" t="s">
        <v>265</v>
      </c>
      <c r="K1710">
        <v>149004</v>
      </c>
      <c r="L1710" t="s">
        <v>282</v>
      </c>
      <c r="M1710">
        <v>0</v>
      </c>
    </row>
    <row r="1711" spans="1:13" x14ac:dyDescent="0.25">
      <c r="A1711">
        <v>2019</v>
      </c>
      <c r="B1711" t="s">
        <v>259</v>
      </c>
      <c r="C1711">
        <v>27139</v>
      </c>
      <c r="D1711" t="s">
        <v>276</v>
      </c>
      <c r="E1711" t="s">
        <v>261</v>
      </c>
      <c r="F1711" t="s">
        <v>270</v>
      </c>
      <c r="G1711" t="s">
        <v>263</v>
      </c>
      <c r="H1711">
        <v>27453.530964004502</v>
      </c>
      <c r="I1711" t="s">
        <v>264</v>
      </c>
      <c r="J1711" t="s">
        <v>265</v>
      </c>
      <c r="K1711">
        <v>149004</v>
      </c>
      <c r="L1711" t="s">
        <v>282</v>
      </c>
      <c r="M1711">
        <v>0.18</v>
      </c>
    </row>
    <row r="1712" spans="1:13" x14ac:dyDescent="0.25">
      <c r="A1712">
        <v>2019</v>
      </c>
      <c r="B1712" t="s">
        <v>259</v>
      </c>
      <c r="C1712">
        <v>27139</v>
      </c>
      <c r="D1712" t="s">
        <v>276</v>
      </c>
      <c r="E1712" t="s">
        <v>261</v>
      </c>
      <c r="F1712" t="s">
        <v>270</v>
      </c>
      <c r="G1712" t="s">
        <v>267</v>
      </c>
      <c r="H1712">
        <v>133966.58960305</v>
      </c>
      <c r="I1712" t="s">
        <v>264</v>
      </c>
      <c r="J1712" t="s">
        <v>265</v>
      </c>
      <c r="K1712">
        <v>149004</v>
      </c>
      <c r="L1712" t="s">
        <v>282</v>
      </c>
      <c r="M1712">
        <v>0.9</v>
      </c>
    </row>
    <row r="1713" spans="1:13" x14ac:dyDescent="0.25">
      <c r="A1713">
        <v>2019</v>
      </c>
      <c r="B1713" t="s">
        <v>259</v>
      </c>
      <c r="C1713">
        <v>27139</v>
      </c>
      <c r="D1713" t="s">
        <v>276</v>
      </c>
      <c r="E1713" t="s">
        <v>261</v>
      </c>
      <c r="F1713" t="s">
        <v>270</v>
      </c>
      <c r="G1713" t="s">
        <v>269</v>
      </c>
      <c r="H1713">
        <v>75.659708055332501</v>
      </c>
      <c r="I1713" t="s">
        <v>264</v>
      </c>
      <c r="J1713" t="s">
        <v>265</v>
      </c>
      <c r="K1713">
        <v>149004</v>
      </c>
      <c r="L1713" t="s">
        <v>282</v>
      </c>
      <c r="M1713">
        <v>0</v>
      </c>
    </row>
    <row r="1714" spans="1:13" x14ac:dyDescent="0.25">
      <c r="A1714">
        <v>2019</v>
      </c>
      <c r="B1714" t="s">
        <v>259</v>
      </c>
      <c r="C1714">
        <v>27141</v>
      </c>
      <c r="D1714" t="s">
        <v>277</v>
      </c>
      <c r="E1714" t="s">
        <v>261</v>
      </c>
      <c r="F1714" t="s">
        <v>262</v>
      </c>
      <c r="G1714" t="s">
        <v>263</v>
      </c>
      <c r="H1714">
        <v>311412.37949800299</v>
      </c>
      <c r="I1714" t="s">
        <v>264</v>
      </c>
      <c r="J1714" t="s">
        <v>265</v>
      </c>
      <c r="K1714">
        <v>97424</v>
      </c>
      <c r="L1714" t="s">
        <v>282</v>
      </c>
      <c r="M1714">
        <v>3.2</v>
      </c>
    </row>
    <row r="1715" spans="1:13" x14ac:dyDescent="0.25">
      <c r="A1715">
        <v>2019</v>
      </c>
      <c r="B1715" t="s">
        <v>259</v>
      </c>
      <c r="C1715">
        <v>27141</v>
      </c>
      <c r="D1715" t="s">
        <v>277</v>
      </c>
      <c r="E1715" t="s">
        <v>261</v>
      </c>
      <c r="F1715" t="s">
        <v>262</v>
      </c>
      <c r="G1715" t="s">
        <v>267</v>
      </c>
      <c r="H1715">
        <v>13200.7482474359</v>
      </c>
      <c r="I1715" t="s">
        <v>264</v>
      </c>
      <c r="J1715" t="s">
        <v>265</v>
      </c>
      <c r="K1715">
        <v>97424</v>
      </c>
      <c r="L1715" t="s">
        <v>282</v>
      </c>
      <c r="M1715">
        <v>0.14000000000000001</v>
      </c>
    </row>
    <row r="1716" spans="1:13" x14ac:dyDescent="0.25">
      <c r="A1716">
        <v>2019</v>
      </c>
      <c r="B1716" t="s">
        <v>259</v>
      </c>
      <c r="C1716">
        <v>27141</v>
      </c>
      <c r="D1716" t="s">
        <v>277</v>
      </c>
      <c r="E1716" t="s">
        <v>261</v>
      </c>
      <c r="F1716" t="s">
        <v>262</v>
      </c>
      <c r="G1716" t="s">
        <v>269</v>
      </c>
      <c r="H1716">
        <v>691.218009841563</v>
      </c>
      <c r="I1716" t="s">
        <v>264</v>
      </c>
      <c r="J1716" t="s">
        <v>265</v>
      </c>
      <c r="K1716">
        <v>97424</v>
      </c>
      <c r="L1716" t="s">
        <v>282</v>
      </c>
      <c r="M1716">
        <v>0.01</v>
      </c>
    </row>
    <row r="1717" spans="1:13" x14ac:dyDescent="0.25">
      <c r="A1717">
        <v>2019</v>
      </c>
      <c r="B1717" t="s">
        <v>259</v>
      </c>
      <c r="C1717">
        <v>27141</v>
      </c>
      <c r="D1717" t="s">
        <v>277</v>
      </c>
      <c r="E1717" t="s">
        <v>261</v>
      </c>
      <c r="F1717" t="s">
        <v>268</v>
      </c>
      <c r="G1717" t="s">
        <v>263</v>
      </c>
      <c r="H1717">
        <v>363.95698584682299</v>
      </c>
      <c r="I1717" t="s">
        <v>264</v>
      </c>
      <c r="J1717" t="s">
        <v>265</v>
      </c>
      <c r="K1717">
        <v>97424</v>
      </c>
      <c r="L1717" t="s">
        <v>282</v>
      </c>
      <c r="M1717">
        <v>0</v>
      </c>
    </row>
    <row r="1718" spans="1:13" x14ac:dyDescent="0.25">
      <c r="A1718">
        <v>2019</v>
      </c>
      <c r="B1718" t="s">
        <v>259</v>
      </c>
      <c r="C1718">
        <v>27141</v>
      </c>
      <c r="D1718" t="s">
        <v>277</v>
      </c>
      <c r="E1718" t="s">
        <v>261</v>
      </c>
      <c r="F1718" t="s">
        <v>268</v>
      </c>
      <c r="G1718" t="s">
        <v>267</v>
      </c>
      <c r="H1718">
        <v>4384.3285455311998</v>
      </c>
      <c r="I1718" t="s">
        <v>264</v>
      </c>
      <c r="J1718" t="s">
        <v>265</v>
      </c>
      <c r="K1718">
        <v>97424</v>
      </c>
      <c r="L1718" t="s">
        <v>282</v>
      </c>
      <c r="M1718">
        <v>0.05</v>
      </c>
    </row>
    <row r="1719" spans="1:13" x14ac:dyDescent="0.25">
      <c r="A1719">
        <v>2019</v>
      </c>
      <c r="B1719" t="s">
        <v>259</v>
      </c>
      <c r="C1719">
        <v>27141</v>
      </c>
      <c r="D1719" t="s">
        <v>277</v>
      </c>
      <c r="E1719" t="s">
        <v>261</v>
      </c>
      <c r="F1719" t="s">
        <v>268</v>
      </c>
      <c r="G1719" t="s">
        <v>269</v>
      </c>
      <c r="H1719">
        <v>79.493123117041705</v>
      </c>
      <c r="I1719" t="s">
        <v>264</v>
      </c>
      <c r="J1719" t="s">
        <v>265</v>
      </c>
      <c r="K1719">
        <v>97424</v>
      </c>
      <c r="L1719" t="s">
        <v>282</v>
      </c>
      <c r="M1719">
        <v>0</v>
      </c>
    </row>
    <row r="1720" spans="1:13" x14ac:dyDescent="0.25">
      <c r="A1720">
        <v>2019</v>
      </c>
      <c r="B1720" t="s">
        <v>259</v>
      </c>
      <c r="C1720">
        <v>27141</v>
      </c>
      <c r="D1720" t="s">
        <v>277</v>
      </c>
      <c r="E1720" t="s">
        <v>261</v>
      </c>
      <c r="F1720" t="s">
        <v>270</v>
      </c>
      <c r="G1720" t="s">
        <v>263</v>
      </c>
      <c r="H1720">
        <v>16715.4696556409</v>
      </c>
      <c r="I1720" t="s">
        <v>264</v>
      </c>
      <c r="J1720" t="s">
        <v>265</v>
      </c>
      <c r="K1720">
        <v>97424</v>
      </c>
      <c r="L1720" t="s">
        <v>282</v>
      </c>
      <c r="M1720">
        <v>0.17</v>
      </c>
    </row>
    <row r="1721" spans="1:13" x14ac:dyDescent="0.25">
      <c r="A1721">
        <v>2019</v>
      </c>
      <c r="B1721" t="s">
        <v>259</v>
      </c>
      <c r="C1721">
        <v>27141</v>
      </c>
      <c r="D1721" t="s">
        <v>277</v>
      </c>
      <c r="E1721" t="s">
        <v>261</v>
      </c>
      <c r="F1721" t="s">
        <v>270</v>
      </c>
      <c r="G1721" t="s">
        <v>267</v>
      </c>
      <c r="H1721">
        <v>94003.149534519893</v>
      </c>
      <c r="I1721" t="s">
        <v>264</v>
      </c>
      <c r="J1721" t="s">
        <v>265</v>
      </c>
      <c r="K1721">
        <v>97424</v>
      </c>
      <c r="L1721" t="s">
        <v>282</v>
      </c>
      <c r="M1721">
        <v>0.96</v>
      </c>
    </row>
    <row r="1722" spans="1:13" x14ac:dyDescent="0.25">
      <c r="A1722">
        <v>2019</v>
      </c>
      <c r="B1722" t="s">
        <v>259</v>
      </c>
      <c r="C1722">
        <v>27141</v>
      </c>
      <c r="D1722" t="s">
        <v>277</v>
      </c>
      <c r="E1722" t="s">
        <v>261</v>
      </c>
      <c r="F1722" t="s">
        <v>270</v>
      </c>
      <c r="G1722" t="s">
        <v>269</v>
      </c>
      <c r="H1722">
        <v>83.138370850679095</v>
      </c>
      <c r="I1722" t="s">
        <v>264</v>
      </c>
      <c r="J1722" t="s">
        <v>265</v>
      </c>
      <c r="K1722">
        <v>97424</v>
      </c>
      <c r="L1722" t="s">
        <v>282</v>
      </c>
      <c r="M1722">
        <v>0</v>
      </c>
    </row>
    <row r="1723" spans="1:13" x14ac:dyDescent="0.25">
      <c r="A1723">
        <v>2019</v>
      </c>
      <c r="B1723" t="s">
        <v>259</v>
      </c>
      <c r="C1723">
        <v>27163</v>
      </c>
      <c r="D1723" t="s">
        <v>278</v>
      </c>
      <c r="E1723" t="s">
        <v>261</v>
      </c>
      <c r="F1723" t="s">
        <v>262</v>
      </c>
      <c r="G1723" t="s">
        <v>263</v>
      </c>
      <c r="H1723">
        <v>774343.424311838</v>
      </c>
      <c r="I1723" t="s">
        <v>264</v>
      </c>
      <c r="J1723" t="s">
        <v>265</v>
      </c>
      <c r="K1723">
        <v>262541</v>
      </c>
      <c r="L1723" t="s">
        <v>282</v>
      </c>
      <c r="M1723">
        <v>2.95</v>
      </c>
    </row>
    <row r="1724" spans="1:13" x14ac:dyDescent="0.25">
      <c r="A1724">
        <v>2019</v>
      </c>
      <c r="B1724" t="s">
        <v>259</v>
      </c>
      <c r="C1724">
        <v>27163</v>
      </c>
      <c r="D1724" t="s">
        <v>278</v>
      </c>
      <c r="E1724" t="s">
        <v>261</v>
      </c>
      <c r="F1724" t="s">
        <v>262</v>
      </c>
      <c r="G1724" t="s">
        <v>267</v>
      </c>
      <c r="H1724">
        <v>15359.7510247135</v>
      </c>
      <c r="I1724" t="s">
        <v>264</v>
      </c>
      <c r="J1724" t="s">
        <v>265</v>
      </c>
      <c r="K1724">
        <v>262541</v>
      </c>
      <c r="L1724" t="s">
        <v>282</v>
      </c>
      <c r="M1724">
        <v>0.06</v>
      </c>
    </row>
    <row r="1725" spans="1:13" x14ac:dyDescent="0.25">
      <c r="A1725">
        <v>2019</v>
      </c>
      <c r="B1725" t="s">
        <v>259</v>
      </c>
      <c r="C1725">
        <v>27163</v>
      </c>
      <c r="D1725" t="s">
        <v>278</v>
      </c>
      <c r="E1725" t="s">
        <v>261</v>
      </c>
      <c r="F1725" t="s">
        <v>262</v>
      </c>
      <c r="G1725" t="s">
        <v>269</v>
      </c>
      <c r="H1725">
        <v>1404.74115105905</v>
      </c>
      <c r="I1725" t="s">
        <v>264</v>
      </c>
      <c r="J1725" t="s">
        <v>265</v>
      </c>
      <c r="K1725">
        <v>262541</v>
      </c>
      <c r="L1725" t="s">
        <v>282</v>
      </c>
      <c r="M1725">
        <v>0.01</v>
      </c>
    </row>
    <row r="1726" spans="1:13" x14ac:dyDescent="0.25">
      <c r="A1726">
        <v>2019</v>
      </c>
      <c r="B1726" t="s">
        <v>259</v>
      </c>
      <c r="C1726">
        <v>27163</v>
      </c>
      <c r="D1726" t="s">
        <v>278</v>
      </c>
      <c r="E1726" t="s">
        <v>261</v>
      </c>
      <c r="F1726" t="s">
        <v>268</v>
      </c>
      <c r="G1726" t="s">
        <v>263</v>
      </c>
      <c r="H1726">
        <v>624.10747905001494</v>
      </c>
      <c r="I1726" t="s">
        <v>264</v>
      </c>
      <c r="J1726" t="s">
        <v>265</v>
      </c>
      <c r="K1726">
        <v>262541</v>
      </c>
      <c r="L1726" t="s">
        <v>282</v>
      </c>
      <c r="M1726">
        <v>0</v>
      </c>
    </row>
    <row r="1727" spans="1:13" x14ac:dyDescent="0.25">
      <c r="A1727">
        <v>2019</v>
      </c>
      <c r="B1727" t="s">
        <v>259</v>
      </c>
      <c r="C1727">
        <v>27163</v>
      </c>
      <c r="D1727" t="s">
        <v>278</v>
      </c>
      <c r="E1727" t="s">
        <v>261</v>
      </c>
      <c r="F1727" t="s">
        <v>268</v>
      </c>
      <c r="G1727" t="s">
        <v>267</v>
      </c>
      <c r="H1727">
        <v>11849.6312322743</v>
      </c>
      <c r="I1727" t="s">
        <v>264</v>
      </c>
      <c r="J1727" t="s">
        <v>265</v>
      </c>
      <c r="K1727">
        <v>262541</v>
      </c>
      <c r="L1727" t="s">
        <v>282</v>
      </c>
      <c r="M1727">
        <v>0.05</v>
      </c>
    </row>
    <row r="1728" spans="1:13" x14ac:dyDescent="0.25">
      <c r="A1728">
        <v>2019</v>
      </c>
      <c r="B1728" t="s">
        <v>259</v>
      </c>
      <c r="C1728">
        <v>27163</v>
      </c>
      <c r="D1728" t="s">
        <v>278</v>
      </c>
      <c r="E1728" t="s">
        <v>261</v>
      </c>
      <c r="F1728" t="s">
        <v>268</v>
      </c>
      <c r="G1728" t="s">
        <v>269</v>
      </c>
      <c r="H1728">
        <v>159.43894452478801</v>
      </c>
      <c r="I1728" t="s">
        <v>264</v>
      </c>
      <c r="J1728" t="s">
        <v>265</v>
      </c>
      <c r="K1728">
        <v>262541</v>
      </c>
      <c r="L1728" t="s">
        <v>282</v>
      </c>
      <c r="M1728">
        <v>0</v>
      </c>
    </row>
    <row r="1729" spans="1:13" x14ac:dyDescent="0.25">
      <c r="A1729">
        <v>2019</v>
      </c>
      <c r="B1729" t="s">
        <v>259</v>
      </c>
      <c r="C1729">
        <v>27163</v>
      </c>
      <c r="D1729" t="s">
        <v>278</v>
      </c>
      <c r="E1729" t="s">
        <v>261</v>
      </c>
      <c r="F1729" t="s">
        <v>270</v>
      </c>
      <c r="G1729" t="s">
        <v>263</v>
      </c>
      <c r="H1729">
        <v>38560.596633997302</v>
      </c>
      <c r="I1729" t="s">
        <v>264</v>
      </c>
      <c r="J1729" t="s">
        <v>265</v>
      </c>
      <c r="K1729">
        <v>262541</v>
      </c>
      <c r="L1729" t="s">
        <v>282</v>
      </c>
      <c r="M1729">
        <v>0.15</v>
      </c>
    </row>
    <row r="1730" spans="1:13" x14ac:dyDescent="0.25">
      <c r="A1730">
        <v>2019</v>
      </c>
      <c r="B1730" t="s">
        <v>259</v>
      </c>
      <c r="C1730">
        <v>27163</v>
      </c>
      <c r="D1730" t="s">
        <v>278</v>
      </c>
      <c r="E1730" t="s">
        <v>261</v>
      </c>
      <c r="F1730" t="s">
        <v>270</v>
      </c>
      <c r="G1730" t="s">
        <v>267</v>
      </c>
      <c r="H1730">
        <v>235825.795106012</v>
      </c>
      <c r="I1730" t="s">
        <v>264</v>
      </c>
      <c r="J1730" t="s">
        <v>265</v>
      </c>
      <c r="K1730">
        <v>262541</v>
      </c>
      <c r="L1730" t="s">
        <v>282</v>
      </c>
      <c r="M1730">
        <v>0.9</v>
      </c>
    </row>
    <row r="1731" spans="1:13" x14ac:dyDescent="0.25">
      <c r="A1731">
        <v>2019</v>
      </c>
      <c r="B1731" t="s">
        <v>259</v>
      </c>
      <c r="C1731">
        <v>27163</v>
      </c>
      <c r="D1731" t="s">
        <v>278</v>
      </c>
      <c r="E1731" t="s">
        <v>261</v>
      </c>
      <c r="F1731" t="s">
        <v>270</v>
      </c>
      <c r="G1731" t="s">
        <v>269</v>
      </c>
      <c r="H1731">
        <v>138.02426773253899</v>
      </c>
      <c r="I1731" t="s">
        <v>264</v>
      </c>
      <c r="J1731" t="s">
        <v>265</v>
      </c>
      <c r="K1731">
        <v>262541</v>
      </c>
      <c r="L1731" t="s">
        <v>282</v>
      </c>
      <c r="M1731">
        <v>0</v>
      </c>
    </row>
    <row r="1732" spans="1:13" x14ac:dyDescent="0.25">
      <c r="A1732">
        <v>2019</v>
      </c>
      <c r="B1732" t="s">
        <v>259</v>
      </c>
      <c r="C1732">
        <v>55093</v>
      </c>
      <c r="D1732" t="s">
        <v>279</v>
      </c>
      <c r="E1732" t="s">
        <v>261</v>
      </c>
      <c r="F1732" t="s">
        <v>262</v>
      </c>
      <c r="G1732" t="s">
        <v>263</v>
      </c>
      <c r="H1732">
        <v>120706.919106334</v>
      </c>
      <c r="I1732" t="s">
        <v>264</v>
      </c>
      <c r="J1732" t="s">
        <v>265</v>
      </c>
      <c r="K1732">
        <v>42768</v>
      </c>
      <c r="L1732" t="s">
        <v>282</v>
      </c>
      <c r="M1732">
        <v>2.82</v>
      </c>
    </row>
    <row r="1733" spans="1:13" x14ac:dyDescent="0.25">
      <c r="A1733">
        <v>2019</v>
      </c>
      <c r="B1733" t="s">
        <v>259</v>
      </c>
      <c r="C1733">
        <v>55093</v>
      </c>
      <c r="D1733" t="s">
        <v>279</v>
      </c>
      <c r="E1733" t="s">
        <v>261</v>
      </c>
      <c r="F1733" t="s">
        <v>262</v>
      </c>
      <c r="G1733" t="s">
        <v>267</v>
      </c>
      <c r="H1733">
        <v>5154.0913650522198</v>
      </c>
      <c r="I1733" t="s">
        <v>264</v>
      </c>
      <c r="J1733" t="s">
        <v>265</v>
      </c>
      <c r="K1733">
        <v>42768</v>
      </c>
      <c r="L1733" t="s">
        <v>282</v>
      </c>
      <c r="M1733">
        <v>0.12</v>
      </c>
    </row>
    <row r="1734" spans="1:13" x14ac:dyDescent="0.25">
      <c r="A1734">
        <v>2019</v>
      </c>
      <c r="B1734" t="s">
        <v>259</v>
      </c>
      <c r="C1734">
        <v>55093</v>
      </c>
      <c r="D1734" t="s">
        <v>279</v>
      </c>
      <c r="E1734" t="s">
        <v>261</v>
      </c>
      <c r="F1734" t="s">
        <v>262</v>
      </c>
      <c r="G1734" t="s">
        <v>269</v>
      </c>
      <c r="H1734">
        <v>287.17434225403099</v>
      </c>
      <c r="I1734" t="s">
        <v>264</v>
      </c>
      <c r="J1734" t="s">
        <v>265</v>
      </c>
      <c r="K1734">
        <v>42768</v>
      </c>
      <c r="L1734" t="s">
        <v>282</v>
      </c>
      <c r="M1734">
        <v>0.01</v>
      </c>
    </row>
    <row r="1735" spans="1:13" x14ac:dyDescent="0.25">
      <c r="A1735">
        <v>2019</v>
      </c>
      <c r="B1735" t="s">
        <v>259</v>
      </c>
      <c r="C1735">
        <v>55093</v>
      </c>
      <c r="D1735" t="s">
        <v>279</v>
      </c>
      <c r="E1735" t="s">
        <v>261</v>
      </c>
      <c r="F1735" t="s">
        <v>268</v>
      </c>
      <c r="G1735" t="s">
        <v>263</v>
      </c>
      <c r="H1735">
        <v>190.84602895095799</v>
      </c>
      <c r="I1735" t="s">
        <v>264</v>
      </c>
      <c r="J1735" t="s">
        <v>265</v>
      </c>
      <c r="K1735">
        <v>42768</v>
      </c>
      <c r="L1735" t="s">
        <v>282</v>
      </c>
      <c r="M1735">
        <v>0</v>
      </c>
    </row>
    <row r="1736" spans="1:13" x14ac:dyDescent="0.25">
      <c r="A1736">
        <v>2019</v>
      </c>
      <c r="B1736" t="s">
        <v>259</v>
      </c>
      <c r="C1736">
        <v>55093</v>
      </c>
      <c r="D1736" t="s">
        <v>279</v>
      </c>
      <c r="E1736" t="s">
        <v>261</v>
      </c>
      <c r="F1736" t="s">
        <v>268</v>
      </c>
      <c r="G1736" t="s">
        <v>267</v>
      </c>
      <c r="H1736">
        <v>2322.4793511439598</v>
      </c>
      <c r="I1736" t="s">
        <v>264</v>
      </c>
      <c r="J1736" t="s">
        <v>265</v>
      </c>
      <c r="K1736">
        <v>42768</v>
      </c>
      <c r="L1736" t="s">
        <v>282</v>
      </c>
      <c r="M1736">
        <v>0.05</v>
      </c>
    </row>
    <row r="1737" spans="1:13" x14ac:dyDescent="0.25">
      <c r="A1737">
        <v>2019</v>
      </c>
      <c r="B1737" t="s">
        <v>259</v>
      </c>
      <c r="C1737">
        <v>55093</v>
      </c>
      <c r="D1737" t="s">
        <v>279</v>
      </c>
      <c r="E1737" t="s">
        <v>261</v>
      </c>
      <c r="F1737" t="s">
        <v>268</v>
      </c>
      <c r="G1737" t="s">
        <v>269</v>
      </c>
      <c r="H1737">
        <v>60.215937449074303</v>
      </c>
      <c r="I1737" t="s">
        <v>264</v>
      </c>
      <c r="J1737" t="s">
        <v>265</v>
      </c>
      <c r="K1737">
        <v>42768</v>
      </c>
      <c r="L1737" t="s">
        <v>282</v>
      </c>
      <c r="M1737">
        <v>0</v>
      </c>
    </row>
    <row r="1738" spans="1:13" x14ac:dyDescent="0.25">
      <c r="A1738">
        <v>2019</v>
      </c>
      <c r="B1738" t="s">
        <v>259</v>
      </c>
      <c r="C1738">
        <v>55093</v>
      </c>
      <c r="D1738" t="s">
        <v>279</v>
      </c>
      <c r="E1738" t="s">
        <v>261</v>
      </c>
      <c r="F1738" t="s">
        <v>270</v>
      </c>
      <c r="G1738" t="s">
        <v>263</v>
      </c>
      <c r="H1738">
        <v>6771.2026013006598</v>
      </c>
      <c r="I1738" t="s">
        <v>264</v>
      </c>
      <c r="J1738" t="s">
        <v>265</v>
      </c>
      <c r="K1738">
        <v>42768</v>
      </c>
      <c r="L1738" t="s">
        <v>282</v>
      </c>
      <c r="M1738">
        <v>0.16</v>
      </c>
    </row>
    <row r="1739" spans="1:13" x14ac:dyDescent="0.25">
      <c r="A1739">
        <v>2019</v>
      </c>
      <c r="B1739" t="s">
        <v>259</v>
      </c>
      <c r="C1739">
        <v>55093</v>
      </c>
      <c r="D1739" t="s">
        <v>279</v>
      </c>
      <c r="E1739" t="s">
        <v>261</v>
      </c>
      <c r="F1739" t="s">
        <v>270</v>
      </c>
      <c r="G1739" t="s">
        <v>267</v>
      </c>
      <c r="H1739">
        <v>21278.855730351999</v>
      </c>
      <c r="I1739" t="s">
        <v>264</v>
      </c>
      <c r="J1739" t="s">
        <v>265</v>
      </c>
      <c r="K1739">
        <v>42768</v>
      </c>
      <c r="L1739" t="s">
        <v>282</v>
      </c>
      <c r="M1739">
        <v>0.5</v>
      </c>
    </row>
    <row r="1740" spans="1:13" x14ac:dyDescent="0.25">
      <c r="A1740">
        <v>2019</v>
      </c>
      <c r="B1740" t="s">
        <v>259</v>
      </c>
      <c r="C1740">
        <v>55093</v>
      </c>
      <c r="D1740" t="s">
        <v>279</v>
      </c>
      <c r="E1740" t="s">
        <v>261</v>
      </c>
      <c r="F1740" t="s">
        <v>270</v>
      </c>
      <c r="G1740" t="s">
        <v>269</v>
      </c>
      <c r="H1740">
        <v>25.922134448072601</v>
      </c>
      <c r="I1740" t="s">
        <v>264</v>
      </c>
      <c r="J1740" t="s">
        <v>265</v>
      </c>
      <c r="K1740">
        <v>42768</v>
      </c>
      <c r="L1740" t="s">
        <v>282</v>
      </c>
      <c r="M1740">
        <v>0</v>
      </c>
    </row>
    <row r="1741" spans="1:13" x14ac:dyDescent="0.25">
      <c r="A1741">
        <v>2019</v>
      </c>
      <c r="B1741" t="s">
        <v>259</v>
      </c>
      <c r="C1741">
        <v>55109</v>
      </c>
      <c r="D1741" t="s">
        <v>280</v>
      </c>
      <c r="E1741" t="s">
        <v>261</v>
      </c>
      <c r="F1741" t="s">
        <v>262</v>
      </c>
      <c r="G1741" t="s">
        <v>263</v>
      </c>
      <c r="H1741">
        <v>406616.00775248097</v>
      </c>
      <c r="I1741" t="s">
        <v>264</v>
      </c>
      <c r="J1741" t="s">
        <v>265</v>
      </c>
      <c r="K1741">
        <v>90691</v>
      </c>
      <c r="L1741" t="s">
        <v>282</v>
      </c>
      <c r="M1741">
        <v>4.4800000000000004</v>
      </c>
    </row>
    <row r="1742" spans="1:13" x14ac:dyDescent="0.25">
      <c r="A1742">
        <v>2019</v>
      </c>
      <c r="B1742" t="s">
        <v>259</v>
      </c>
      <c r="C1742">
        <v>55109</v>
      </c>
      <c r="D1742" t="s">
        <v>280</v>
      </c>
      <c r="E1742" t="s">
        <v>261</v>
      </c>
      <c r="F1742" t="s">
        <v>262</v>
      </c>
      <c r="G1742" t="s">
        <v>267</v>
      </c>
      <c r="H1742">
        <v>16622.9057009106</v>
      </c>
      <c r="I1742" t="s">
        <v>264</v>
      </c>
      <c r="J1742" t="s">
        <v>265</v>
      </c>
      <c r="K1742">
        <v>90691</v>
      </c>
      <c r="L1742" t="s">
        <v>282</v>
      </c>
      <c r="M1742">
        <v>0.18</v>
      </c>
    </row>
    <row r="1743" spans="1:13" x14ac:dyDescent="0.25">
      <c r="A1743">
        <v>2019</v>
      </c>
      <c r="B1743" t="s">
        <v>259</v>
      </c>
      <c r="C1743">
        <v>55109</v>
      </c>
      <c r="D1743" t="s">
        <v>280</v>
      </c>
      <c r="E1743" t="s">
        <v>261</v>
      </c>
      <c r="F1743" t="s">
        <v>262</v>
      </c>
      <c r="G1743" t="s">
        <v>269</v>
      </c>
      <c r="H1743">
        <v>931.15483267006596</v>
      </c>
      <c r="I1743" t="s">
        <v>264</v>
      </c>
      <c r="J1743" t="s">
        <v>265</v>
      </c>
      <c r="K1743">
        <v>90691</v>
      </c>
      <c r="L1743" t="s">
        <v>282</v>
      </c>
      <c r="M1743">
        <v>0.01</v>
      </c>
    </row>
    <row r="1744" spans="1:13" x14ac:dyDescent="0.25">
      <c r="A1744">
        <v>2019</v>
      </c>
      <c r="B1744" t="s">
        <v>259</v>
      </c>
      <c r="C1744">
        <v>55109</v>
      </c>
      <c r="D1744" t="s">
        <v>280</v>
      </c>
      <c r="E1744" t="s">
        <v>261</v>
      </c>
      <c r="F1744" t="s">
        <v>268</v>
      </c>
      <c r="G1744" t="s">
        <v>263</v>
      </c>
      <c r="H1744">
        <v>520.12468064986194</v>
      </c>
      <c r="I1744" t="s">
        <v>264</v>
      </c>
      <c r="J1744" t="s">
        <v>265</v>
      </c>
      <c r="K1744">
        <v>90691</v>
      </c>
      <c r="L1744" t="s">
        <v>282</v>
      </c>
      <c r="M1744">
        <v>0.01</v>
      </c>
    </row>
    <row r="1745" spans="1:13" x14ac:dyDescent="0.25">
      <c r="A1745">
        <v>2019</v>
      </c>
      <c r="B1745" t="s">
        <v>259</v>
      </c>
      <c r="C1745">
        <v>55109</v>
      </c>
      <c r="D1745" t="s">
        <v>280</v>
      </c>
      <c r="E1745" t="s">
        <v>261</v>
      </c>
      <c r="F1745" t="s">
        <v>268</v>
      </c>
      <c r="G1745" t="s">
        <v>267</v>
      </c>
      <c r="H1745">
        <v>7355.0416310174196</v>
      </c>
      <c r="I1745" t="s">
        <v>264</v>
      </c>
      <c r="J1745" t="s">
        <v>265</v>
      </c>
      <c r="K1745">
        <v>90691</v>
      </c>
      <c r="L1745" t="s">
        <v>282</v>
      </c>
      <c r="M1745">
        <v>0.08</v>
      </c>
    </row>
    <row r="1746" spans="1:13" x14ac:dyDescent="0.25">
      <c r="A1746">
        <v>2019</v>
      </c>
      <c r="B1746" t="s">
        <v>259</v>
      </c>
      <c r="C1746">
        <v>55109</v>
      </c>
      <c r="D1746" t="s">
        <v>280</v>
      </c>
      <c r="E1746" t="s">
        <v>261</v>
      </c>
      <c r="F1746" t="s">
        <v>268</v>
      </c>
      <c r="G1746" t="s">
        <v>269</v>
      </c>
      <c r="H1746">
        <v>148.20236069261</v>
      </c>
      <c r="I1746" t="s">
        <v>264</v>
      </c>
      <c r="J1746" t="s">
        <v>265</v>
      </c>
      <c r="K1746">
        <v>90691</v>
      </c>
      <c r="L1746" t="s">
        <v>282</v>
      </c>
      <c r="M1746">
        <v>0</v>
      </c>
    </row>
    <row r="1747" spans="1:13" x14ac:dyDescent="0.25">
      <c r="A1747">
        <v>2019</v>
      </c>
      <c r="B1747" t="s">
        <v>259</v>
      </c>
      <c r="C1747">
        <v>55109</v>
      </c>
      <c r="D1747" t="s">
        <v>280</v>
      </c>
      <c r="E1747" t="s">
        <v>261</v>
      </c>
      <c r="F1747" t="s">
        <v>270</v>
      </c>
      <c r="G1747" t="s">
        <v>263</v>
      </c>
      <c r="H1747">
        <v>24063.876243045499</v>
      </c>
      <c r="I1747" t="s">
        <v>264</v>
      </c>
      <c r="J1747" t="s">
        <v>265</v>
      </c>
      <c r="K1747">
        <v>90691</v>
      </c>
      <c r="L1747" t="s">
        <v>282</v>
      </c>
      <c r="M1747">
        <v>0.27</v>
      </c>
    </row>
    <row r="1748" spans="1:13" x14ac:dyDescent="0.25">
      <c r="A1748">
        <v>2019</v>
      </c>
      <c r="B1748" t="s">
        <v>259</v>
      </c>
      <c r="C1748">
        <v>55109</v>
      </c>
      <c r="D1748" t="s">
        <v>280</v>
      </c>
      <c r="E1748" t="s">
        <v>261</v>
      </c>
      <c r="F1748" t="s">
        <v>270</v>
      </c>
      <c r="G1748" t="s">
        <v>267</v>
      </c>
      <c r="H1748">
        <v>149826.01439099401</v>
      </c>
      <c r="I1748" t="s">
        <v>264</v>
      </c>
      <c r="J1748" t="s">
        <v>265</v>
      </c>
      <c r="K1748">
        <v>90691</v>
      </c>
      <c r="L1748" t="s">
        <v>282</v>
      </c>
      <c r="M1748">
        <v>1.65</v>
      </c>
    </row>
    <row r="1749" spans="1:13" x14ac:dyDescent="0.25">
      <c r="A1749">
        <v>2019</v>
      </c>
      <c r="B1749" t="s">
        <v>259</v>
      </c>
      <c r="C1749">
        <v>55109</v>
      </c>
      <c r="D1749" t="s">
        <v>280</v>
      </c>
      <c r="E1749" t="s">
        <v>261</v>
      </c>
      <c r="F1749" t="s">
        <v>270</v>
      </c>
      <c r="G1749" t="s">
        <v>269</v>
      </c>
      <c r="H1749">
        <v>101.118268282476</v>
      </c>
      <c r="I1749" t="s">
        <v>264</v>
      </c>
      <c r="J1749" t="s">
        <v>265</v>
      </c>
      <c r="K1749">
        <v>90691</v>
      </c>
      <c r="L1749" t="s">
        <v>282</v>
      </c>
      <c r="M1749">
        <v>0</v>
      </c>
    </row>
    <row r="1750" spans="1:13" x14ac:dyDescent="0.25">
      <c r="A1750">
        <v>2020</v>
      </c>
      <c r="B1750" t="s">
        <v>259</v>
      </c>
      <c r="C1750">
        <v>27003</v>
      </c>
      <c r="D1750" t="s">
        <v>260</v>
      </c>
      <c r="E1750" t="s">
        <v>261</v>
      </c>
      <c r="F1750" t="s">
        <v>262</v>
      </c>
      <c r="G1750" t="s">
        <v>263</v>
      </c>
      <c r="H1750">
        <v>960156.52729114494</v>
      </c>
      <c r="I1750" t="s">
        <v>283</v>
      </c>
      <c r="J1750" t="s">
        <v>265</v>
      </c>
      <c r="K1750">
        <v>363887</v>
      </c>
      <c r="L1750" t="s">
        <v>281</v>
      </c>
      <c r="M1750">
        <v>2.64</v>
      </c>
    </row>
    <row r="1751" spans="1:13" x14ac:dyDescent="0.25">
      <c r="A1751">
        <v>2020</v>
      </c>
      <c r="B1751" t="s">
        <v>259</v>
      </c>
      <c r="C1751">
        <v>27003</v>
      </c>
      <c r="D1751" t="s">
        <v>260</v>
      </c>
      <c r="E1751" t="s">
        <v>261</v>
      </c>
      <c r="F1751" t="s">
        <v>262</v>
      </c>
      <c r="G1751" t="s">
        <v>267</v>
      </c>
      <c r="H1751">
        <v>23851.575340813601</v>
      </c>
      <c r="I1751" t="s">
        <v>283</v>
      </c>
      <c r="J1751" t="s">
        <v>265</v>
      </c>
      <c r="K1751">
        <v>363887</v>
      </c>
      <c r="L1751" t="s">
        <v>281</v>
      </c>
      <c r="M1751">
        <v>7.0000000000000007E-2</v>
      </c>
    </row>
    <row r="1752" spans="1:13" x14ac:dyDescent="0.25">
      <c r="A1752">
        <v>2020</v>
      </c>
      <c r="B1752" t="s">
        <v>259</v>
      </c>
      <c r="C1752">
        <v>27003</v>
      </c>
      <c r="D1752" t="s">
        <v>260</v>
      </c>
      <c r="E1752" t="s">
        <v>261</v>
      </c>
      <c r="F1752" t="s">
        <v>262</v>
      </c>
      <c r="G1752" t="s">
        <v>269</v>
      </c>
      <c r="H1752">
        <v>2018.1539906856599</v>
      </c>
      <c r="I1752" t="s">
        <v>283</v>
      </c>
      <c r="J1752" t="s">
        <v>265</v>
      </c>
      <c r="K1752">
        <v>363887</v>
      </c>
      <c r="L1752" t="s">
        <v>281</v>
      </c>
      <c r="M1752">
        <v>0.01</v>
      </c>
    </row>
    <row r="1753" spans="1:13" x14ac:dyDescent="0.25">
      <c r="A1753">
        <v>2020</v>
      </c>
      <c r="B1753" t="s">
        <v>259</v>
      </c>
      <c r="C1753">
        <v>27003</v>
      </c>
      <c r="D1753" t="s">
        <v>260</v>
      </c>
      <c r="E1753" t="s">
        <v>261</v>
      </c>
      <c r="F1753" t="s">
        <v>268</v>
      </c>
      <c r="G1753" t="s">
        <v>263</v>
      </c>
      <c r="H1753">
        <v>4177.4716653695596</v>
      </c>
      <c r="I1753" t="s">
        <v>283</v>
      </c>
      <c r="J1753" t="s">
        <v>265</v>
      </c>
      <c r="K1753">
        <v>363887</v>
      </c>
      <c r="L1753" t="s">
        <v>281</v>
      </c>
      <c r="M1753">
        <v>0.01</v>
      </c>
    </row>
    <row r="1754" spans="1:13" x14ac:dyDescent="0.25">
      <c r="A1754">
        <v>2020</v>
      </c>
      <c r="B1754" t="s">
        <v>259</v>
      </c>
      <c r="C1754">
        <v>27003</v>
      </c>
      <c r="D1754" t="s">
        <v>260</v>
      </c>
      <c r="E1754" t="s">
        <v>261</v>
      </c>
      <c r="F1754" t="s">
        <v>268</v>
      </c>
      <c r="G1754" t="s">
        <v>267</v>
      </c>
      <c r="H1754">
        <v>21655.281221155299</v>
      </c>
      <c r="I1754" t="s">
        <v>283</v>
      </c>
      <c r="J1754" t="s">
        <v>265</v>
      </c>
      <c r="K1754">
        <v>363887</v>
      </c>
      <c r="L1754" t="s">
        <v>281</v>
      </c>
      <c r="M1754">
        <v>0.06</v>
      </c>
    </row>
    <row r="1755" spans="1:13" x14ac:dyDescent="0.25">
      <c r="A1755">
        <v>2020</v>
      </c>
      <c r="B1755" t="s">
        <v>259</v>
      </c>
      <c r="C1755">
        <v>27003</v>
      </c>
      <c r="D1755" t="s">
        <v>260</v>
      </c>
      <c r="E1755" t="s">
        <v>261</v>
      </c>
      <c r="F1755" t="s">
        <v>270</v>
      </c>
      <c r="G1755" t="s">
        <v>263</v>
      </c>
      <c r="H1755">
        <v>93294.835706776896</v>
      </c>
      <c r="I1755" t="s">
        <v>283</v>
      </c>
      <c r="J1755" t="s">
        <v>265</v>
      </c>
      <c r="K1755">
        <v>363887</v>
      </c>
      <c r="L1755" t="s">
        <v>281</v>
      </c>
      <c r="M1755">
        <v>0.26</v>
      </c>
    </row>
    <row r="1756" spans="1:13" x14ac:dyDescent="0.25">
      <c r="A1756">
        <v>2020</v>
      </c>
      <c r="B1756" t="s">
        <v>259</v>
      </c>
      <c r="C1756">
        <v>27003</v>
      </c>
      <c r="D1756" t="s">
        <v>260</v>
      </c>
      <c r="E1756" t="s">
        <v>261</v>
      </c>
      <c r="F1756" t="s">
        <v>270</v>
      </c>
      <c r="G1756" t="s">
        <v>267</v>
      </c>
      <c r="H1756">
        <v>267682.821686265</v>
      </c>
      <c r="I1756" t="s">
        <v>283</v>
      </c>
      <c r="J1756" t="s">
        <v>265</v>
      </c>
      <c r="K1756">
        <v>363887</v>
      </c>
      <c r="L1756" t="s">
        <v>281</v>
      </c>
      <c r="M1756">
        <v>0.74</v>
      </c>
    </row>
    <row r="1757" spans="1:13" x14ac:dyDescent="0.25">
      <c r="A1757">
        <v>2020</v>
      </c>
      <c r="B1757" t="s">
        <v>259</v>
      </c>
      <c r="C1757">
        <v>27003</v>
      </c>
      <c r="D1757" t="s">
        <v>260</v>
      </c>
      <c r="E1757" t="s">
        <v>261</v>
      </c>
      <c r="F1757" t="s">
        <v>270</v>
      </c>
      <c r="G1757" t="s">
        <v>269</v>
      </c>
      <c r="H1757">
        <v>330.65299549865699</v>
      </c>
      <c r="I1757" t="s">
        <v>283</v>
      </c>
      <c r="J1757" t="s">
        <v>265</v>
      </c>
      <c r="K1757">
        <v>363887</v>
      </c>
      <c r="L1757" t="s">
        <v>281</v>
      </c>
      <c r="M1757">
        <v>0</v>
      </c>
    </row>
    <row r="1758" spans="1:13" x14ac:dyDescent="0.25">
      <c r="A1758">
        <v>2020</v>
      </c>
      <c r="B1758" t="s">
        <v>259</v>
      </c>
      <c r="C1758">
        <v>27019</v>
      </c>
      <c r="D1758" t="s">
        <v>271</v>
      </c>
      <c r="E1758" t="s">
        <v>261</v>
      </c>
      <c r="F1758" t="s">
        <v>262</v>
      </c>
      <c r="G1758" t="s">
        <v>263</v>
      </c>
      <c r="H1758">
        <v>271510.73639925598</v>
      </c>
      <c r="I1758" t="s">
        <v>283</v>
      </c>
      <c r="J1758" t="s">
        <v>265</v>
      </c>
      <c r="K1758">
        <v>106922</v>
      </c>
      <c r="L1758" t="s">
        <v>281</v>
      </c>
      <c r="M1758">
        <v>2.54</v>
      </c>
    </row>
    <row r="1759" spans="1:13" x14ac:dyDescent="0.25">
      <c r="A1759">
        <v>2020</v>
      </c>
      <c r="B1759" t="s">
        <v>259</v>
      </c>
      <c r="C1759">
        <v>27019</v>
      </c>
      <c r="D1759" t="s">
        <v>271</v>
      </c>
      <c r="E1759" t="s">
        <v>261</v>
      </c>
      <c r="F1759" t="s">
        <v>262</v>
      </c>
      <c r="G1759" t="s">
        <v>267</v>
      </c>
      <c r="H1759">
        <v>4120.0729422874701</v>
      </c>
      <c r="I1759" t="s">
        <v>283</v>
      </c>
      <c r="J1759" t="s">
        <v>265</v>
      </c>
      <c r="K1759">
        <v>106922</v>
      </c>
      <c r="L1759" t="s">
        <v>281</v>
      </c>
      <c r="M1759">
        <v>0.04</v>
      </c>
    </row>
    <row r="1760" spans="1:13" x14ac:dyDescent="0.25">
      <c r="A1760">
        <v>2020</v>
      </c>
      <c r="B1760" t="s">
        <v>259</v>
      </c>
      <c r="C1760">
        <v>27019</v>
      </c>
      <c r="D1760" t="s">
        <v>271</v>
      </c>
      <c r="E1760" t="s">
        <v>261</v>
      </c>
      <c r="F1760" t="s">
        <v>262</v>
      </c>
      <c r="G1760" t="s">
        <v>269</v>
      </c>
      <c r="H1760">
        <v>494.57430477776899</v>
      </c>
      <c r="I1760" t="s">
        <v>283</v>
      </c>
      <c r="J1760" t="s">
        <v>265</v>
      </c>
      <c r="K1760">
        <v>106922</v>
      </c>
      <c r="L1760" t="s">
        <v>281</v>
      </c>
      <c r="M1760">
        <v>0</v>
      </c>
    </row>
    <row r="1761" spans="1:13" x14ac:dyDescent="0.25">
      <c r="A1761">
        <v>2020</v>
      </c>
      <c r="B1761" t="s">
        <v>259</v>
      </c>
      <c r="C1761">
        <v>27019</v>
      </c>
      <c r="D1761" t="s">
        <v>271</v>
      </c>
      <c r="E1761" t="s">
        <v>261</v>
      </c>
      <c r="F1761" t="s">
        <v>268</v>
      </c>
      <c r="G1761" t="s">
        <v>263</v>
      </c>
      <c r="H1761">
        <v>1114.1409743151401</v>
      </c>
      <c r="I1761" t="s">
        <v>283</v>
      </c>
      <c r="J1761" t="s">
        <v>265</v>
      </c>
      <c r="K1761">
        <v>106922</v>
      </c>
      <c r="L1761" t="s">
        <v>281</v>
      </c>
      <c r="M1761">
        <v>0.01</v>
      </c>
    </row>
    <row r="1762" spans="1:13" x14ac:dyDescent="0.25">
      <c r="A1762">
        <v>2020</v>
      </c>
      <c r="B1762" t="s">
        <v>259</v>
      </c>
      <c r="C1762">
        <v>27019</v>
      </c>
      <c r="D1762" t="s">
        <v>271</v>
      </c>
      <c r="E1762" t="s">
        <v>261</v>
      </c>
      <c r="F1762" t="s">
        <v>268</v>
      </c>
      <c r="G1762" t="s">
        <v>267</v>
      </c>
      <c r="H1762">
        <v>6788.1432082394404</v>
      </c>
      <c r="I1762" t="s">
        <v>283</v>
      </c>
      <c r="J1762" t="s">
        <v>265</v>
      </c>
      <c r="K1762">
        <v>106922</v>
      </c>
      <c r="L1762" t="s">
        <v>281</v>
      </c>
      <c r="M1762">
        <v>0.06</v>
      </c>
    </row>
    <row r="1763" spans="1:13" x14ac:dyDescent="0.25">
      <c r="A1763">
        <v>2020</v>
      </c>
      <c r="B1763" t="s">
        <v>259</v>
      </c>
      <c r="C1763">
        <v>27019</v>
      </c>
      <c r="D1763" t="s">
        <v>271</v>
      </c>
      <c r="E1763" t="s">
        <v>261</v>
      </c>
      <c r="F1763" t="s">
        <v>270</v>
      </c>
      <c r="G1763" t="s">
        <v>263</v>
      </c>
      <c r="H1763">
        <v>24002.9708272602</v>
      </c>
      <c r="I1763" t="s">
        <v>283</v>
      </c>
      <c r="J1763" t="s">
        <v>265</v>
      </c>
      <c r="K1763">
        <v>106922</v>
      </c>
      <c r="L1763" t="s">
        <v>281</v>
      </c>
      <c r="M1763">
        <v>0.22</v>
      </c>
    </row>
    <row r="1764" spans="1:13" x14ac:dyDescent="0.25">
      <c r="A1764">
        <v>2020</v>
      </c>
      <c r="B1764" t="s">
        <v>259</v>
      </c>
      <c r="C1764">
        <v>27019</v>
      </c>
      <c r="D1764" t="s">
        <v>271</v>
      </c>
      <c r="E1764" t="s">
        <v>261</v>
      </c>
      <c r="F1764" t="s">
        <v>270</v>
      </c>
      <c r="G1764" t="s">
        <v>267</v>
      </c>
      <c r="H1764">
        <v>80409.945735070301</v>
      </c>
      <c r="I1764" t="s">
        <v>283</v>
      </c>
      <c r="J1764" t="s">
        <v>265</v>
      </c>
      <c r="K1764">
        <v>106922</v>
      </c>
      <c r="L1764" t="s">
        <v>281</v>
      </c>
      <c r="M1764">
        <v>0.75</v>
      </c>
    </row>
    <row r="1765" spans="1:13" x14ac:dyDescent="0.25">
      <c r="A1765">
        <v>2020</v>
      </c>
      <c r="B1765" t="s">
        <v>259</v>
      </c>
      <c r="C1765">
        <v>27019</v>
      </c>
      <c r="D1765" t="s">
        <v>271</v>
      </c>
      <c r="E1765" t="s">
        <v>261</v>
      </c>
      <c r="F1765" t="s">
        <v>270</v>
      </c>
      <c r="G1765" t="s">
        <v>269</v>
      </c>
      <c r="H1765">
        <v>82.162017613745107</v>
      </c>
      <c r="I1765" t="s">
        <v>283</v>
      </c>
      <c r="J1765" t="s">
        <v>265</v>
      </c>
      <c r="K1765">
        <v>106922</v>
      </c>
      <c r="L1765" t="s">
        <v>281</v>
      </c>
      <c r="M1765">
        <v>0</v>
      </c>
    </row>
    <row r="1766" spans="1:13" x14ac:dyDescent="0.25">
      <c r="A1766">
        <v>2020</v>
      </c>
      <c r="B1766" t="s">
        <v>259</v>
      </c>
      <c r="C1766">
        <v>27025</v>
      </c>
      <c r="D1766" t="s">
        <v>272</v>
      </c>
      <c r="E1766" t="s">
        <v>261</v>
      </c>
      <c r="F1766" t="s">
        <v>262</v>
      </c>
      <c r="G1766" t="s">
        <v>263</v>
      </c>
      <c r="H1766">
        <v>233858.293795946</v>
      </c>
      <c r="I1766" t="s">
        <v>283</v>
      </c>
      <c r="J1766" t="s">
        <v>265</v>
      </c>
      <c r="K1766">
        <v>56621</v>
      </c>
      <c r="L1766" t="s">
        <v>281</v>
      </c>
      <c r="M1766">
        <v>4.13</v>
      </c>
    </row>
    <row r="1767" spans="1:13" x14ac:dyDescent="0.25">
      <c r="A1767">
        <v>2020</v>
      </c>
      <c r="B1767" t="s">
        <v>259</v>
      </c>
      <c r="C1767">
        <v>27025</v>
      </c>
      <c r="D1767" t="s">
        <v>272</v>
      </c>
      <c r="E1767" t="s">
        <v>261</v>
      </c>
      <c r="F1767" t="s">
        <v>262</v>
      </c>
      <c r="G1767" t="s">
        <v>267</v>
      </c>
      <c r="H1767">
        <v>6483.5254694462901</v>
      </c>
      <c r="I1767" t="s">
        <v>283</v>
      </c>
      <c r="J1767" t="s">
        <v>265</v>
      </c>
      <c r="K1767">
        <v>56621</v>
      </c>
      <c r="L1767" t="s">
        <v>281</v>
      </c>
      <c r="M1767">
        <v>0.11</v>
      </c>
    </row>
    <row r="1768" spans="1:13" x14ac:dyDescent="0.25">
      <c r="A1768">
        <v>2020</v>
      </c>
      <c r="B1768" t="s">
        <v>259</v>
      </c>
      <c r="C1768">
        <v>27025</v>
      </c>
      <c r="D1768" t="s">
        <v>272</v>
      </c>
      <c r="E1768" t="s">
        <v>261</v>
      </c>
      <c r="F1768" t="s">
        <v>262</v>
      </c>
      <c r="G1768" t="s">
        <v>269</v>
      </c>
      <c r="H1768">
        <v>479.82859130453102</v>
      </c>
      <c r="I1768" t="s">
        <v>283</v>
      </c>
      <c r="J1768" t="s">
        <v>265</v>
      </c>
      <c r="K1768">
        <v>56621</v>
      </c>
      <c r="L1768" t="s">
        <v>281</v>
      </c>
      <c r="M1768">
        <v>0.01</v>
      </c>
    </row>
    <row r="1769" spans="1:13" x14ac:dyDescent="0.25">
      <c r="A1769">
        <v>2020</v>
      </c>
      <c r="B1769" t="s">
        <v>259</v>
      </c>
      <c r="C1769">
        <v>27025</v>
      </c>
      <c r="D1769" t="s">
        <v>272</v>
      </c>
      <c r="E1769" t="s">
        <v>261</v>
      </c>
      <c r="F1769" t="s">
        <v>268</v>
      </c>
      <c r="G1769" t="s">
        <v>263</v>
      </c>
      <c r="H1769">
        <v>519.14960008303296</v>
      </c>
      <c r="I1769" t="s">
        <v>283</v>
      </c>
      <c r="J1769" t="s">
        <v>265</v>
      </c>
      <c r="K1769">
        <v>56621</v>
      </c>
      <c r="L1769" t="s">
        <v>281</v>
      </c>
      <c r="M1769">
        <v>0.01</v>
      </c>
    </row>
    <row r="1770" spans="1:13" x14ac:dyDescent="0.25">
      <c r="A1770">
        <v>2020</v>
      </c>
      <c r="B1770" t="s">
        <v>259</v>
      </c>
      <c r="C1770">
        <v>27025</v>
      </c>
      <c r="D1770" t="s">
        <v>272</v>
      </c>
      <c r="E1770" t="s">
        <v>261</v>
      </c>
      <c r="F1770" t="s">
        <v>268</v>
      </c>
      <c r="G1770" t="s">
        <v>267</v>
      </c>
      <c r="H1770">
        <v>6397.7990165893798</v>
      </c>
      <c r="I1770" t="s">
        <v>283</v>
      </c>
      <c r="J1770" t="s">
        <v>265</v>
      </c>
      <c r="K1770">
        <v>56621</v>
      </c>
      <c r="L1770" t="s">
        <v>281</v>
      </c>
      <c r="M1770">
        <v>0.11</v>
      </c>
    </row>
    <row r="1771" spans="1:13" x14ac:dyDescent="0.25">
      <c r="A1771">
        <v>2020</v>
      </c>
      <c r="B1771" t="s">
        <v>259</v>
      </c>
      <c r="C1771">
        <v>27025</v>
      </c>
      <c r="D1771" t="s">
        <v>272</v>
      </c>
      <c r="E1771" t="s">
        <v>261</v>
      </c>
      <c r="F1771" t="s">
        <v>270</v>
      </c>
      <c r="G1771" t="s">
        <v>263</v>
      </c>
      <c r="H1771">
        <v>16581.927979594799</v>
      </c>
      <c r="I1771" t="s">
        <v>283</v>
      </c>
      <c r="J1771" t="s">
        <v>265</v>
      </c>
      <c r="K1771">
        <v>56621</v>
      </c>
      <c r="L1771" t="s">
        <v>281</v>
      </c>
      <c r="M1771">
        <v>0.28999999999999998</v>
      </c>
    </row>
    <row r="1772" spans="1:13" x14ac:dyDescent="0.25">
      <c r="A1772">
        <v>2020</v>
      </c>
      <c r="B1772" t="s">
        <v>259</v>
      </c>
      <c r="C1772">
        <v>27025</v>
      </c>
      <c r="D1772" t="s">
        <v>272</v>
      </c>
      <c r="E1772" t="s">
        <v>261</v>
      </c>
      <c r="F1772" t="s">
        <v>270</v>
      </c>
      <c r="G1772" t="s">
        <v>267</v>
      </c>
      <c r="H1772">
        <v>99581.018802381906</v>
      </c>
      <c r="I1772" t="s">
        <v>283</v>
      </c>
      <c r="J1772" t="s">
        <v>265</v>
      </c>
      <c r="K1772">
        <v>56621</v>
      </c>
      <c r="L1772" t="s">
        <v>281</v>
      </c>
      <c r="M1772">
        <v>1.76</v>
      </c>
    </row>
    <row r="1773" spans="1:13" x14ac:dyDescent="0.25">
      <c r="A1773">
        <v>2020</v>
      </c>
      <c r="B1773" t="s">
        <v>259</v>
      </c>
      <c r="C1773">
        <v>27025</v>
      </c>
      <c r="D1773" t="s">
        <v>272</v>
      </c>
      <c r="E1773" t="s">
        <v>261</v>
      </c>
      <c r="F1773" t="s">
        <v>270</v>
      </c>
      <c r="G1773" t="s">
        <v>269</v>
      </c>
      <c r="H1773">
        <v>58.8971013758865</v>
      </c>
      <c r="I1773" t="s">
        <v>283</v>
      </c>
      <c r="J1773" t="s">
        <v>265</v>
      </c>
      <c r="K1773">
        <v>56621</v>
      </c>
      <c r="L1773" t="s">
        <v>281</v>
      </c>
      <c r="M1773">
        <v>0</v>
      </c>
    </row>
    <row r="1774" spans="1:13" x14ac:dyDescent="0.25">
      <c r="A1774">
        <v>2020</v>
      </c>
      <c r="B1774" t="s">
        <v>259</v>
      </c>
      <c r="C1774">
        <v>27037</v>
      </c>
      <c r="D1774" t="s">
        <v>273</v>
      </c>
      <c r="E1774" t="s">
        <v>261</v>
      </c>
      <c r="F1774" t="s">
        <v>262</v>
      </c>
      <c r="G1774" t="s">
        <v>263</v>
      </c>
      <c r="H1774">
        <v>1204039.0669547201</v>
      </c>
      <c r="I1774" t="s">
        <v>283</v>
      </c>
      <c r="J1774" t="s">
        <v>265</v>
      </c>
      <c r="K1774">
        <v>439882</v>
      </c>
      <c r="L1774" t="s">
        <v>281</v>
      </c>
      <c r="M1774">
        <v>2.74</v>
      </c>
    </row>
    <row r="1775" spans="1:13" x14ac:dyDescent="0.25">
      <c r="A1775">
        <v>2020</v>
      </c>
      <c r="B1775" t="s">
        <v>259</v>
      </c>
      <c r="C1775">
        <v>27037</v>
      </c>
      <c r="D1775" t="s">
        <v>273</v>
      </c>
      <c r="E1775" t="s">
        <v>261</v>
      </c>
      <c r="F1775" t="s">
        <v>262</v>
      </c>
      <c r="G1775" t="s">
        <v>267</v>
      </c>
      <c r="H1775">
        <v>17056.0417276355</v>
      </c>
      <c r="I1775" t="s">
        <v>283</v>
      </c>
      <c r="J1775" t="s">
        <v>265</v>
      </c>
      <c r="K1775">
        <v>439882</v>
      </c>
      <c r="L1775" t="s">
        <v>281</v>
      </c>
      <c r="M1775">
        <v>0.04</v>
      </c>
    </row>
    <row r="1776" spans="1:13" x14ac:dyDescent="0.25">
      <c r="A1776">
        <v>2020</v>
      </c>
      <c r="B1776" t="s">
        <v>259</v>
      </c>
      <c r="C1776">
        <v>27037</v>
      </c>
      <c r="D1776" t="s">
        <v>273</v>
      </c>
      <c r="E1776" t="s">
        <v>261</v>
      </c>
      <c r="F1776" t="s">
        <v>262</v>
      </c>
      <c r="G1776" t="s">
        <v>269</v>
      </c>
      <c r="H1776">
        <v>2073.8579181637501</v>
      </c>
      <c r="I1776" t="s">
        <v>283</v>
      </c>
      <c r="J1776" t="s">
        <v>265</v>
      </c>
      <c r="K1776">
        <v>439882</v>
      </c>
      <c r="L1776" t="s">
        <v>281</v>
      </c>
      <c r="M1776">
        <v>0</v>
      </c>
    </row>
    <row r="1777" spans="1:13" x14ac:dyDescent="0.25">
      <c r="A1777">
        <v>2020</v>
      </c>
      <c r="B1777" t="s">
        <v>259</v>
      </c>
      <c r="C1777">
        <v>27037</v>
      </c>
      <c r="D1777" t="s">
        <v>273</v>
      </c>
      <c r="E1777" t="s">
        <v>261</v>
      </c>
      <c r="F1777" t="s">
        <v>268</v>
      </c>
      <c r="G1777" t="s">
        <v>263</v>
      </c>
      <c r="H1777">
        <v>5121.5112563824996</v>
      </c>
      <c r="I1777" t="s">
        <v>283</v>
      </c>
      <c r="J1777" t="s">
        <v>265</v>
      </c>
      <c r="K1777">
        <v>439882</v>
      </c>
      <c r="L1777" t="s">
        <v>281</v>
      </c>
      <c r="M1777">
        <v>0.01</v>
      </c>
    </row>
    <row r="1778" spans="1:13" x14ac:dyDescent="0.25">
      <c r="A1778">
        <v>2020</v>
      </c>
      <c r="B1778" t="s">
        <v>259</v>
      </c>
      <c r="C1778">
        <v>27037</v>
      </c>
      <c r="D1778" t="s">
        <v>273</v>
      </c>
      <c r="E1778" t="s">
        <v>261</v>
      </c>
      <c r="F1778" t="s">
        <v>268</v>
      </c>
      <c r="G1778" t="s">
        <v>267</v>
      </c>
      <c r="H1778">
        <v>29463.991240382798</v>
      </c>
      <c r="I1778" t="s">
        <v>283</v>
      </c>
      <c r="J1778" t="s">
        <v>265</v>
      </c>
      <c r="K1778">
        <v>439882</v>
      </c>
      <c r="L1778" t="s">
        <v>281</v>
      </c>
      <c r="M1778">
        <v>7.0000000000000007E-2</v>
      </c>
    </row>
    <row r="1779" spans="1:13" x14ac:dyDescent="0.25">
      <c r="A1779">
        <v>2020</v>
      </c>
      <c r="B1779" t="s">
        <v>259</v>
      </c>
      <c r="C1779">
        <v>27037</v>
      </c>
      <c r="D1779" t="s">
        <v>273</v>
      </c>
      <c r="E1779" t="s">
        <v>261</v>
      </c>
      <c r="F1779" t="s">
        <v>270</v>
      </c>
      <c r="G1779" t="s">
        <v>263</v>
      </c>
      <c r="H1779">
        <v>137746.47196212999</v>
      </c>
      <c r="I1779" t="s">
        <v>283</v>
      </c>
      <c r="J1779" t="s">
        <v>265</v>
      </c>
      <c r="K1779">
        <v>439882</v>
      </c>
      <c r="L1779" t="s">
        <v>281</v>
      </c>
      <c r="M1779">
        <v>0.31</v>
      </c>
    </row>
    <row r="1780" spans="1:13" x14ac:dyDescent="0.25">
      <c r="A1780">
        <v>2020</v>
      </c>
      <c r="B1780" t="s">
        <v>259</v>
      </c>
      <c r="C1780">
        <v>27037</v>
      </c>
      <c r="D1780" t="s">
        <v>273</v>
      </c>
      <c r="E1780" t="s">
        <v>261</v>
      </c>
      <c r="F1780" t="s">
        <v>270</v>
      </c>
      <c r="G1780" t="s">
        <v>267</v>
      </c>
      <c r="H1780">
        <v>389308.92283999902</v>
      </c>
      <c r="I1780" t="s">
        <v>283</v>
      </c>
      <c r="J1780" t="s">
        <v>265</v>
      </c>
      <c r="K1780">
        <v>439882</v>
      </c>
      <c r="L1780" t="s">
        <v>281</v>
      </c>
      <c r="M1780">
        <v>0.89</v>
      </c>
    </row>
    <row r="1781" spans="1:13" x14ac:dyDescent="0.25">
      <c r="A1781">
        <v>2020</v>
      </c>
      <c r="B1781" t="s">
        <v>259</v>
      </c>
      <c r="C1781">
        <v>27037</v>
      </c>
      <c r="D1781" t="s">
        <v>273</v>
      </c>
      <c r="E1781" t="s">
        <v>261</v>
      </c>
      <c r="F1781" t="s">
        <v>270</v>
      </c>
      <c r="G1781" t="s">
        <v>269</v>
      </c>
      <c r="H1781">
        <v>776.70897143658999</v>
      </c>
      <c r="I1781" t="s">
        <v>283</v>
      </c>
      <c r="J1781" t="s">
        <v>265</v>
      </c>
      <c r="K1781">
        <v>439882</v>
      </c>
      <c r="L1781" t="s">
        <v>281</v>
      </c>
      <c r="M1781">
        <v>0</v>
      </c>
    </row>
    <row r="1782" spans="1:13" x14ac:dyDescent="0.25">
      <c r="A1782">
        <v>2020</v>
      </c>
      <c r="B1782" t="s">
        <v>259</v>
      </c>
      <c r="C1782">
        <v>27053</v>
      </c>
      <c r="D1782" t="s">
        <v>274</v>
      </c>
      <c r="E1782" t="s">
        <v>261</v>
      </c>
      <c r="F1782" t="s">
        <v>262</v>
      </c>
      <c r="G1782" t="s">
        <v>263</v>
      </c>
      <c r="H1782">
        <v>3342131.2965623802</v>
      </c>
      <c r="I1782" t="s">
        <v>283</v>
      </c>
      <c r="J1782" t="s">
        <v>265</v>
      </c>
      <c r="K1782">
        <v>1281565</v>
      </c>
      <c r="L1782" t="s">
        <v>281</v>
      </c>
      <c r="M1782">
        <v>2.61</v>
      </c>
    </row>
    <row r="1783" spans="1:13" x14ac:dyDescent="0.25">
      <c r="A1783">
        <v>2020</v>
      </c>
      <c r="B1783" t="s">
        <v>259</v>
      </c>
      <c r="C1783">
        <v>27053</v>
      </c>
      <c r="D1783" t="s">
        <v>274</v>
      </c>
      <c r="E1783" t="s">
        <v>261</v>
      </c>
      <c r="F1783" t="s">
        <v>262</v>
      </c>
      <c r="G1783" t="s">
        <v>267</v>
      </c>
      <c r="H1783">
        <v>47477.005979774302</v>
      </c>
      <c r="I1783" t="s">
        <v>283</v>
      </c>
      <c r="J1783" t="s">
        <v>265</v>
      </c>
      <c r="K1783">
        <v>1281565</v>
      </c>
      <c r="L1783" t="s">
        <v>281</v>
      </c>
      <c r="M1783">
        <v>0.04</v>
      </c>
    </row>
    <row r="1784" spans="1:13" x14ac:dyDescent="0.25">
      <c r="A1784">
        <v>2020</v>
      </c>
      <c r="B1784" t="s">
        <v>259</v>
      </c>
      <c r="C1784">
        <v>27053</v>
      </c>
      <c r="D1784" t="s">
        <v>274</v>
      </c>
      <c r="E1784" t="s">
        <v>261</v>
      </c>
      <c r="F1784" t="s">
        <v>262</v>
      </c>
      <c r="G1784" t="s">
        <v>269</v>
      </c>
      <c r="H1784">
        <v>5612.2621148848502</v>
      </c>
      <c r="I1784" t="s">
        <v>283</v>
      </c>
      <c r="J1784" t="s">
        <v>265</v>
      </c>
      <c r="K1784">
        <v>1281565</v>
      </c>
      <c r="L1784" t="s">
        <v>281</v>
      </c>
      <c r="M1784">
        <v>0</v>
      </c>
    </row>
    <row r="1785" spans="1:13" x14ac:dyDescent="0.25">
      <c r="A1785">
        <v>2020</v>
      </c>
      <c r="B1785" t="s">
        <v>259</v>
      </c>
      <c r="C1785">
        <v>27053</v>
      </c>
      <c r="D1785" t="s">
        <v>274</v>
      </c>
      <c r="E1785" t="s">
        <v>261</v>
      </c>
      <c r="F1785" t="s">
        <v>268</v>
      </c>
      <c r="G1785" t="s">
        <v>263</v>
      </c>
      <c r="H1785">
        <v>13302.8287664154</v>
      </c>
      <c r="I1785" t="s">
        <v>283</v>
      </c>
      <c r="J1785" t="s">
        <v>265</v>
      </c>
      <c r="K1785">
        <v>1281565</v>
      </c>
      <c r="L1785" t="s">
        <v>281</v>
      </c>
      <c r="M1785">
        <v>0.01</v>
      </c>
    </row>
    <row r="1786" spans="1:13" x14ac:dyDescent="0.25">
      <c r="A1786">
        <v>2020</v>
      </c>
      <c r="B1786" t="s">
        <v>259</v>
      </c>
      <c r="C1786">
        <v>27053</v>
      </c>
      <c r="D1786" t="s">
        <v>274</v>
      </c>
      <c r="E1786" t="s">
        <v>261</v>
      </c>
      <c r="F1786" t="s">
        <v>268</v>
      </c>
      <c r="G1786" t="s">
        <v>267</v>
      </c>
      <c r="H1786">
        <v>77883.5394341871</v>
      </c>
      <c r="I1786" t="s">
        <v>283</v>
      </c>
      <c r="J1786" t="s">
        <v>265</v>
      </c>
      <c r="K1786">
        <v>1281565</v>
      </c>
      <c r="L1786" t="s">
        <v>281</v>
      </c>
      <c r="M1786">
        <v>0.06</v>
      </c>
    </row>
    <row r="1787" spans="1:13" x14ac:dyDescent="0.25">
      <c r="A1787">
        <v>2020</v>
      </c>
      <c r="B1787" t="s">
        <v>259</v>
      </c>
      <c r="C1787">
        <v>27053</v>
      </c>
      <c r="D1787" t="s">
        <v>274</v>
      </c>
      <c r="E1787" t="s">
        <v>261</v>
      </c>
      <c r="F1787" t="s">
        <v>270</v>
      </c>
      <c r="G1787" t="s">
        <v>263</v>
      </c>
      <c r="H1787">
        <v>385802.167805921</v>
      </c>
      <c r="I1787" t="s">
        <v>283</v>
      </c>
      <c r="J1787" t="s">
        <v>265</v>
      </c>
      <c r="K1787">
        <v>1281565</v>
      </c>
      <c r="L1787" t="s">
        <v>281</v>
      </c>
      <c r="M1787">
        <v>0.3</v>
      </c>
    </row>
    <row r="1788" spans="1:13" x14ac:dyDescent="0.25">
      <c r="A1788">
        <v>2020</v>
      </c>
      <c r="B1788" t="s">
        <v>259</v>
      </c>
      <c r="C1788">
        <v>27053</v>
      </c>
      <c r="D1788" t="s">
        <v>274</v>
      </c>
      <c r="E1788" t="s">
        <v>261</v>
      </c>
      <c r="F1788" t="s">
        <v>270</v>
      </c>
      <c r="G1788" t="s">
        <v>267</v>
      </c>
      <c r="H1788">
        <v>995147.40868707898</v>
      </c>
      <c r="I1788" t="s">
        <v>283</v>
      </c>
      <c r="J1788" t="s">
        <v>265</v>
      </c>
      <c r="K1788">
        <v>1281565</v>
      </c>
      <c r="L1788" t="s">
        <v>281</v>
      </c>
      <c r="M1788">
        <v>0.78</v>
      </c>
    </row>
    <row r="1789" spans="1:13" x14ac:dyDescent="0.25">
      <c r="A1789">
        <v>2020</v>
      </c>
      <c r="B1789" t="s">
        <v>259</v>
      </c>
      <c r="C1789">
        <v>27053</v>
      </c>
      <c r="D1789" t="s">
        <v>274</v>
      </c>
      <c r="E1789" t="s">
        <v>261</v>
      </c>
      <c r="F1789" t="s">
        <v>270</v>
      </c>
      <c r="G1789" t="s">
        <v>269</v>
      </c>
      <c r="H1789">
        <v>1838.8907241903801</v>
      </c>
      <c r="I1789" t="s">
        <v>283</v>
      </c>
      <c r="J1789" t="s">
        <v>265</v>
      </c>
      <c r="K1789">
        <v>1281565</v>
      </c>
      <c r="L1789" t="s">
        <v>281</v>
      </c>
      <c r="M1789">
        <v>0</v>
      </c>
    </row>
    <row r="1790" spans="1:13" x14ac:dyDescent="0.25">
      <c r="A1790">
        <v>2020</v>
      </c>
      <c r="B1790" t="s">
        <v>259</v>
      </c>
      <c r="C1790">
        <v>27123</v>
      </c>
      <c r="D1790" t="s">
        <v>275</v>
      </c>
      <c r="E1790" t="s">
        <v>261</v>
      </c>
      <c r="F1790" t="s">
        <v>262</v>
      </c>
      <c r="G1790" t="s">
        <v>263</v>
      </c>
      <c r="H1790">
        <v>1434646.14712648</v>
      </c>
      <c r="I1790" t="s">
        <v>283</v>
      </c>
      <c r="J1790" t="s">
        <v>265</v>
      </c>
      <c r="K1790">
        <v>552352</v>
      </c>
      <c r="L1790" t="s">
        <v>281</v>
      </c>
      <c r="M1790">
        <v>2.6</v>
      </c>
    </row>
    <row r="1791" spans="1:13" x14ac:dyDescent="0.25">
      <c r="A1791">
        <v>2020</v>
      </c>
      <c r="B1791" t="s">
        <v>259</v>
      </c>
      <c r="C1791">
        <v>27123</v>
      </c>
      <c r="D1791" t="s">
        <v>275</v>
      </c>
      <c r="E1791" t="s">
        <v>261</v>
      </c>
      <c r="F1791" t="s">
        <v>262</v>
      </c>
      <c r="G1791" t="s">
        <v>267</v>
      </c>
      <c r="H1791">
        <v>34257.293987262099</v>
      </c>
      <c r="I1791" t="s">
        <v>283</v>
      </c>
      <c r="J1791" t="s">
        <v>265</v>
      </c>
      <c r="K1791">
        <v>552352</v>
      </c>
      <c r="L1791" t="s">
        <v>281</v>
      </c>
      <c r="M1791">
        <v>0.06</v>
      </c>
    </row>
    <row r="1792" spans="1:13" x14ac:dyDescent="0.25">
      <c r="A1792">
        <v>2020</v>
      </c>
      <c r="B1792" t="s">
        <v>259</v>
      </c>
      <c r="C1792">
        <v>27123</v>
      </c>
      <c r="D1792" t="s">
        <v>275</v>
      </c>
      <c r="E1792" t="s">
        <v>261</v>
      </c>
      <c r="F1792" t="s">
        <v>262</v>
      </c>
      <c r="G1792" t="s">
        <v>269</v>
      </c>
      <c r="H1792">
        <v>2885.04995326873</v>
      </c>
      <c r="I1792" t="s">
        <v>283</v>
      </c>
      <c r="J1792" t="s">
        <v>265</v>
      </c>
      <c r="K1792">
        <v>552352</v>
      </c>
      <c r="L1792" t="s">
        <v>281</v>
      </c>
      <c r="M1792">
        <v>0.01</v>
      </c>
    </row>
    <row r="1793" spans="1:13" x14ac:dyDescent="0.25">
      <c r="A1793">
        <v>2020</v>
      </c>
      <c r="B1793" t="s">
        <v>259</v>
      </c>
      <c r="C1793">
        <v>27123</v>
      </c>
      <c r="D1793" t="s">
        <v>275</v>
      </c>
      <c r="E1793" t="s">
        <v>261</v>
      </c>
      <c r="F1793" t="s">
        <v>268</v>
      </c>
      <c r="G1793" t="s">
        <v>263</v>
      </c>
      <c r="H1793">
        <v>3875.9304531658499</v>
      </c>
      <c r="I1793" t="s">
        <v>283</v>
      </c>
      <c r="J1793" t="s">
        <v>265</v>
      </c>
      <c r="K1793">
        <v>552352</v>
      </c>
      <c r="L1793" t="s">
        <v>281</v>
      </c>
      <c r="M1793">
        <v>0.01</v>
      </c>
    </row>
    <row r="1794" spans="1:13" x14ac:dyDescent="0.25">
      <c r="A1794">
        <v>2020</v>
      </c>
      <c r="B1794" t="s">
        <v>259</v>
      </c>
      <c r="C1794">
        <v>27123</v>
      </c>
      <c r="D1794" t="s">
        <v>275</v>
      </c>
      <c r="E1794" t="s">
        <v>261</v>
      </c>
      <c r="F1794" t="s">
        <v>268</v>
      </c>
      <c r="G1794" t="s">
        <v>267</v>
      </c>
      <c r="H1794">
        <v>31804.346090872899</v>
      </c>
      <c r="I1794" t="s">
        <v>283</v>
      </c>
      <c r="J1794" t="s">
        <v>265</v>
      </c>
      <c r="K1794">
        <v>552352</v>
      </c>
      <c r="L1794" t="s">
        <v>281</v>
      </c>
      <c r="M1794">
        <v>0.06</v>
      </c>
    </row>
    <row r="1795" spans="1:13" x14ac:dyDescent="0.25">
      <c r="A1795">
        <v>2020</v>
      </c>
      <c r="B1795" t="s">
        <v>259</v>
      </c>
      <c r="C1795">
        <v>27123</v>
      </c>
      <c r="D1795" t="s">
        <v>275</v>
      </c>
      <c r="E1795" t="s">
        <v>261</v>
      </c>
      <c r="F1795" t="s">
        <v>270</v>
      </c>
      <c r="G1795" t="s">
        <v>263</v>
      </c>
      <c r="H1795">
        <v>175188.606111136</v>
      </c>
      <c r="I1795" t="s">
        <v>283</v>
      </c>
      <c r="J1795" t="s">
        <v>265</v>
      </c>
      <c r="K1795">
        <v>552352</v>
      </c>
      <c r="L1795" t="s">
        <v>281</v>
      </c>
      <c r="M1795">
        <v>0.32</v>
      </c>
    </row>
    <row r="1796" spans="1:13" x14ac:dyDescent="0.25">
      <c r="A1796">
        <v>2020</v>
      </c>
      <c r="B1796" t="s">
        <v>259</v>
      </c>
      <c r="C1796">
        <v>27123</v>
      </c>
      <c r="D1796" t="s">
        <v>275</v>
      </c>
      <c r="E1796" t="s">
        <v>261</v>
      </c>
      <c r="F1796" t="s">
        <v>270</v>
      </c>
      <c r="G1796" t="s">
        <v>267</v>
      </c>
      <c r="H1796">
        <v>454190.56825134199</v>
      </c>
      <c r="I1796" t="s">
        <v>283</v>
      </c>
      <c r="J1796" t="s">
        <v>265</v>
      </c>
      <c r="K1796">
        <v>552352</v>
      </c>
      <c r="L1796" t="s">
        <v>281</v>
      </c>
      <c r="M1796">
        <v>0.82</v>
      </c>
    </row>
    <row r="1797" spans="1:13" x14ac:dyDescent="0.25">
      <c r="A1797">
        <v>2020</v>
      </c>
      <c r="B1797" t="s">
        <v>259</v>
      </c>
      <c r="C1797">
        <v>27123</v>
      </c>
      <c r="D1797" t="s">
        <v>275</v>
      </c>
      <c r="E1797" t="s">
        <v>261</v>
      </c>
      <c r="F1797" t="s">
        <v>270</v>
      </c>
      <c r="G1797" t="s">
        <v>269</v>
      </c>
      <c r="H1797">
        <v>573.44060869593898</v>
      </c>
      <c r="I1797" t="s">
        <v>283</v>
      </c>
      <c r="J1797" t="s">
        <v>265</v>
      </c>
      <c r="K1797">
        <v>552352</v>
      </c>
      <c r="L1797" t="s">
        <v>281</v>
      </c>
      <c r="M1797">
        <v>0</v>
      </c>
    </row>
    <row r="1798" spans="1:13" x14ac:dyDescent="0.25">
      <c r="A1798">
        <v>2020</v>
      </c>
      <c r="B1798" t="s">
        <v>259</v>
      </c>
      <c r="C1798">
        <v>27139</v>
      </c>
      <c r="D1798" t="s">
        <v>276</v>
      </c>
      <c r="E1798" t="s">
        <v>261</v>
      </c>
      <c r="F1798" t="s">
        <v>262</v>
      </c>
      <c r="G1798" t="s">
        <v>263</v>
      </c>
      <c r="H1798">
        <v>426267.01215835602</v>
      </c>
      <c r="I1798" t="s">
        <v>283</v>
      </c>
      <c r="J1798" t="s">
        <v>265</v>
      </c>
      <c r="K1798">
        <v>150928</v>
      </c>
      <c r="L1798" t="s">
        <v>281</v>
      </c>
      <c r="M1798">
        <v>2.82</v>
      </c>
    </row>
    <row r="1799" spans="1:13" x14ac:dyDescent="0.25">
      <c r="A1799">
        <v>2020</v>
      </c>
      <c r="B1799" t="s">
        <v>259</v>
      </c>
      <c r="C1799">
        <v>27139</v>
      </c>
      <c r="D1799" t="s">
        <v>276</v>
      </c>
      <c r="E1799" t="s">
        <v>261</v>
      </c>
      <c r="F1799" t="s">
        <v>262</v>
      </c>
      <c r="G1799" t="s">
        <v>267</v>
      </c>
      <c r="H1799">
        <v>6345.2252774132803</v>
      </c>
      <c r="I1799" t="s">
        <v>283</v>
      </c>
      <c r="J1799" t="s">
        <v>265</v>
      </c>
      <c r="K1799">
        <v>150928</v>
      </c>
      <c r="L1799" t="s">
        <v>281</v>
      </c>
      <c r="M1799">
        <v>0.04</v>
      </c>
    </row>
    <row r="1800" spans="1:13" x14ac:dyDescent="0.25">
      <c r="A1800">
        <v>2020</v>
      </c>
      <c r="B1800" t="s">
        <v>259</v>
      </c>
      <c r="C1800">
        <v>27139</v>
      </c>
      <c r="D1800" t="s">
        <v>276</v>
      </c>
      <c r="E1800" t="s">
        <v>261</v>
      </c>
      <c r="F1800" t="s">
        <v>262</v>
      </c>
      <c r="G1800" t="s">
        <v>269</v>
      </c>
      <c r="H1800">
        <v>756.74862538194498</v>
      </c>
      <c r="I1800" t="s">
        <v>283</v>
      </c>
      <c r="J1800" t="s">
        <v>265</v>
      </c>
      <c r="K1800">
        <v>150928</v>
      </c>
      <c r="L1800" t="s">
        <v>281</v>
      </c>
      <c r="M1800">
        <v>0.01</v>
      </c>
    </row>
    <row r="1801" spans="1:13" x14ac:dyDescent="0.25">
      <c r="A1801">
        <v>2020</v>
      </c>
      <c r="B1801" t="s">
        <v>259</v>
      </c>
      <c r="C1801">
        <v>27139</v>
      </c>
      <c r="D1801" t="s">
        <v>276</v>
      </c>
      <c r="E1801" t="s">
        <v>261</v>
      </c>
      <c r="F1801" t="s">
        <v>268</v>
      </c>
      <c r="G1801" t="s">
        <v>263</v>
      </c>
      <c r="H1801">
        <v>3090.3280978314001</v>
      </c>
      <c r="I1801" t="s">
        <v>283</v>
      </c>
      <c r="J1801" t="s">
        <v>265</v>
      </c>
      <c r="K1801">
        <v>150928</v>
      </c>
      <c r="L1801" t="s">
        <v>281</v>
      </c>
      <c r="M1801">
        <v>0.02</v>
      </c>
    </row>
    <row r="1802" spans="1:13" x14ac:dyDescent="0.25">
      <c r="A1802">
        <v>2020</v>
      </c>
      <c r="B1802" t="s">
        <v>259</v>
      </c>
      <c r="C1802">
        <v>27139</v>
      </c>
      <c r="D1802" t="s">
        <v>276</v>
      </c>
      <c r="E1802" t="s">
        <v>261</v>
      </c>
      <c r="F1802" t="s">
        <v>268</v>
      </c>
      <c r="G1802" t="s">
        <v>267</v>
      </c>
      <c r="H1802">
        <v>10732.6137748826</v>
      </c>
      <c r="I1802" t="s">
        <v>283</v>
      </c>
      <c r="J1802" t="s">
        <v>265</v>
      </c>
      <c r="K1802">
        <v>150928</v>
      </c>
      <c r="L1802" t="s">
        <v>281</v>
      </c>
      <c r="M1802">
        <v>7.0000000000000007E-2</v>
      </c>
    </row>
    <row r="1803" spans="1:13" x14ac:dyDescent="0.25">
      <c r="A1803">
        <v>2020</v>
      </c>
      <c r="B1803" t="s">
        <v>259</v>
      </c>
      <c r="C1803">
        <v>27139</v>
      </c>
      <c r="D1803" t="s">
        <v>276</v>
      </c>
      <c r="E1803" t="s">
        <v>261</v>
      </c>
      <c r="F1803" t="s">
        <v>270</v>
      </c>
      <c r="G1803" t="s">
        <v>263</v>
      </c>
      <c r="H1803">
        <v>41456.055828384902</v>
      </c>
      <c r="I1803" t="s">
        <v>283</v>
      </c>
      <c r="J1803" t="s">
        <v>265</v>
      </c>
      <c r="K1803">
        <v>150928</v>
      </c>
      <c r="L1803" t="s">
        <v>281</v>
      </c>
      <c r="M1803">
        <v>0.27</v>
      </c>
    </row>
    <row r="1804" spans="1:13" x14ac:dyDescent="0.25">
      <c r="A1804">
        <v>2020</v>
      </c>
      <c r="B1804" t="s">
        <v>259</v>
      </c>
      <c r="C1804">
        <v>27139</v>
      </c>
      <c r="D1804" t="s">
        <v>276</v>
      </c>
      <c r="E1804" t="s">
        <v>261</v>
      </c>
      <c r="F1804" t="s">
        <v>270</v>
      </c>
      <c r="G1804" t="s">
        <v>267</v>
      </c>
      <c r="H1804">
        <v>142102.43269175899</v>
      </c>
      <c r="I1804" t="s">
        <v>283</v>
      </c>
      <c r="J1804" t="s">
        <v>265</v>
      </c>
      <c r="K1804">
        <v>150928</v>
      </c>
      <c r="L1804" t="s">
        <v>281</v>
      </c>
      <c r="M1804">
        <v>0.94</v>
      </c>
    </row>
    <row r="1805" spans="1:13" x14ac:dyDescent="0.25">
      <c r="A1805">
        <v>2020</v>
      </c>
      <c r="B1805" t="s">
        <v>259</v>
      </c>
      <c r="C1805">
        <v>27139</v>
      </c>
      <c r="D1805" t="s">
        <v>276</v>
      </c>
      <c r="E1805" t="s">
        <v>261</v>
      </c>
      <c r="F1805" t="s">
        <v>270</v>
      </c>
      <c r="G1805" t="s">
        <v>269</v>
      </c>
      <c r="H1805">
        <v>202.02283996319699</v>
      </c>
      <c r="I1805" t="s">
        <v>283</v>
      </c>
      <c r="J1805" t="s">
        <v>265</v>
      </c>
      <c r="K1805">
        <v>150928</v>
      </c>
      <c r="L1805" t="s">
        <v>281</v>
      </c>
      <c r="M1805">
        <v>0</v>
      </c>
    </row>
    <row r="1806" spans="1:13" x14ac:dyDescent="0.25">
      <c r="A1806">
        <v>2020</v>
      </c>
      <c r="B1806" t="s">
        <v>259</v>
      </c>
      <c r="C1806">
        <v>27141</v>
      </c>
      <c r="D1806" t="s">
        <v>277</v>
      </c>
      <c r="E1806" t="s">
        <v>261</v>
      </c>
      <c r="F1806" t="s">
        <v>262</v>
      </c>
      <c r="G1806" t="s">
        <v>263</v>
      </c>
      <c r="H1806">
        <v>295575.43454387999</v>
      </c>
      <c r="I1806" t="s">
        <v>283</v>
      </c>
      <c r="J1806" t="s">
        <v>265</v>
      </c>
      <c r="K1806">
        <v>97183</v>
      </c>
      <c r="L1806" t="s">
        <v>281</v>
      </c>
      <c r="M1806">
        <v>3.04</v>
      </c>
    </row>
    <row r="1807" spans="1:13" x14ac:dyDescent="0.25">
      <c r="A1807">
        <v>2020</v>
      </c>
      <c r="B1807" t="s">
        <v>259</v>
      </c>
      <c r="C1807">
        <v>27141</v>
      </c>
      <c r="D1807" t="s">
        <v>277</v>
      </c>
      <c r="E1807" t="s">
        <v>261</v>
      </c>
      <c r="F1807" t="s">
        <v>262</v>
      </c>
      <c r="G1807" t="s">
        <v>267</v>
      </c>
      <c r="H1807">
        <v>7852.2618735431997</v>
      </c>
      <c r="I1807" t="s">
        <v>283</v>
      </c>
      <c r="J1807" t="s">
        <v>265</v>
      </c>
      <c r="K1807">
        <v>97183</v>
      </c>
      <c r="L1807" t="s">
        <v>281</v>
      </c>
      <c r="M1807">
        <v>0.08</v>
      </c>
    </row>
    <row r="1808" spans="1:13" x14ac:dyDescent="0.25">
      <c r="A1808">
        <v>2020</v>
      </c>
      <c r="B1808" t="s">
        <v>259</v>
      </c>
      <c r="C1808">
        <v>27141</v>
      </c>
      <c r="D1808" t="s">
        <v>277</v>
      </c>
      <c r="E1808" t="s">
        <v>261</v>
      </c>
      <c r="F1808" t="s">
        <v>262</v>
      </c>
      <c r="G1808" t="s">
        <v>269</v>
      </c>
      <c r="H1808">
        <v>621.78715030350895</v>
      </c>
      <c r="I1808" t="s">
        <v>283</v>
      </c>
      <c r="J1808" t="s">
        <v>265</v>
      </c>
      <c r="K1808">
        <v>97183</v>
      </c>
      <c r="L1808" t="s">
        <v>281</v>
      </c>
      <c r="M1808">
        <v>0.01</v>
      </c>
    </row>
    <row r="1809" spans="1:13" x14ac:dyDescent="0.25">
      <c r="A1809">
        <v>2020</v>
      </c>
      <c r="B1809" t="s">
        <v>259</v>
      </c>
      <c r="C1809">
        <v>27141</v>
      </c>
      <c r="D1809" t="s">
        <v>277</v>
      </c>
      <c r="E1809" t="s">
        <v>261</v>
      </c>
      <c r="F1809" t="s">
        <v>268</v>
      </c>
      <c r="G1809" t="s">
        <v>263</v>
      </c>
      <c r="H1809">
        <v>916.74571920809899</v>
      </c>
      <c r="I1809" t="s">
        <v>283</v>
      </c>
      <c r="J1809" t="s">
        <v>265</v>
      </c>
      <c r="K1809">
        <v>97183</v>
      </c>
      <c r="L1809" t="s">
        <v>281</v>
      </c>
      <c r="M1809">
        <v>0.01</v>
      </c>
    </row>
    <row r="1810" spans="1:13" x14ac:dyDescent="0.25">
      <c r="A1810">
        <v>2020</v>
      </c>
      <c r="B1810" t="s">
        <v>259</v>
      </c>
      <c r="C1810">
        <v>27141</v>
      </c>
      <c r="D1810" t="s">
        <v>277</v>
      </c>
      <c r="E1810" t="s">
        <v>261</v>
      </c>
      <c r="F1810" t="s">
        <v>268</v>
      </c>
      <c r="G1810" t="s">
        <v>267</v>
      </c>
      <c r="H1810">
        <v>8344.5803658645891</v>
      </c>
      <c r="I1810" t="s">
        <v>283</v>
      </c>
      <c r="J1810" t="s">
        <v>265</v>
      </c>
      <c r="K1810">
        <v>97183</v>
      </c>
      <c r="L1810" t="s">
        <v>281</v>
      </c>
      <c r="M1810">
        <v>0.09</v>
      </c>
    </row>
    <row r="1811" spans="1:13" x14ac:dyDescent="0.25">
      <c r="A1811">
        <v>2020</v>
      </c>
      <c r="B1811" t="s">
        <v>259</v>
      </c>
      <c r="C1811">
        <v>27141</v>
      </c>
      <c r="D1811" t="s">
        <v>277</v>
      </c>
      <c r="E1811" t="s">
        <v>261</v>
      </c>
      <c r="F1811" t="s">
        <v>270</v>
      </c>
      <c r="G1811" t="s">
        <v>263</v>
      </c>
      <c r="H1811">
        <v>25921.331620683999</v>
      </c>
      <c r="I1811" t="s">
        <v>283</v>
      </c>
      <c r="J1811" t="s">
        <v>265</v>
      </c>
      <c r="K1811">
        <v>97183</v>
      </c>
      <c r="L1811" t="s">
        <v>281</v>
      </c>
      <c r="M1811">
        <v>0.27</v>
      </c>
    </row>
    <row r="1812" spans="1:13" x14ac:dyDescent="0.25">
      <c r="A1812">
        <v>2020</v>
      </c>
      <c r="B1812" t="s">
        <v>259</v>
      </c>
      <c r="C1812">
        <v>27141</v>
      </c>
      <c r="D1812" t="s">
        <v>277</v>
      </c>
      <c r="E1812" t="s">
        <v>261</v>
      </c>
      <c r="F1812" t="s">
        <v>270</v>
      </c>
      <c r="G1812" t="s">
        <v>267</v>
      </c>
      <c r="H1812">
        <v>92933.663834188003</v>
      </c>
      <c r="I1812" t="s">
        <v>283</v>
      </c>
      <c r="J1812" t="s">
        <v>265</v>
      </c>
      <c r="K1812">
        <v>97183</v>
      </c>
      <c r="L1812" t="s">
        <v>281</v>
      </c>
      <c r="M1812">
        <v>0.96</v>
      </c>
    </row>
    <row r="1813" spans="1:13" x14ac:dyDescent="0.25">
      <c r="A1813">
        <v>2020</v>
      </c>
      <c r="B1813" t="s">
        <v>259</v>
      </c>
      <c r="C1813">
        <v>27141</v>
      </c>
      <c r="D1813" t="s">
        <v>277</v>
      </c>
      <c r="E1813" t="s">
        <v>261</v>
      </c>
      <c r="F1813" t="s">
        <v>270</v>
      </c>
      <c r="G1813" t="s">
        <v>269</v>
      </c>
      <c r="H1813">
        <v>91.050232546497497</v>
      </c>
      <c r="I1813" t="s">
        <v>283</v>
      </c>
      <c r="J1813" t="s">
        <v>265</v>
      </c>
      <c r="K1813">
        <v>97183</v>
      </c>
      <c r="L1813" t="s">
        <v>281</v>
      </c>
      <c r="M1813">
        <v>0</v>
      </c>
    </row>
    <row r="1814" spans="1:13" x14ac:dyDescent="0.25">
      <c r="A1814">
        <v>2020</v>
      </c>
      <c r="B1814" t="s">
        <v>259</v>
      </c>
      <c r="C1814">
        <v>27163</v>
      </c>
      <c r="D1814" t="s">
        <v>278</v>
      </c>
      <c r="E1814" t="s">
        <v>261</v>
      </c>
      <c r="F1814" t="s">
        <v>262</v>
      </c>
      <c r="G1814" t="s">
        <v>263</v>
      </c>
      <c r="H1814">
        <v>726888.29864467494</v>
      </c>
      <c r="I1814" t="s">
        <v>283</v>
      </c>
      <c r="J1814" t="s">
        <v>265</v>
      </c>
      <c r="K1814">
        <v>267568</v>
      </c>
      <c r="L1814" t="s">
        <v>281</v>
      </c>
      <c r="M1814">
        <v>2.72</v>
      </c>
    </row>
    <row r="1815" spans="1:13" x14ac:dyDescent="0.25">
      <c r="A1815">
        <v>2020</v>
      </c>
      <c r="B1815" t="s">
        <v>259</v>
      </c>
      <c r="C1815">
        <v>27163</v>
      </c>
      <c r="D1815" t="s">
        <v>278</v>
      </c>
      <c r="E1815" t="s">
        <v>261</v>
      </c>
      <c r="F1815" t="s">
        <v>262</v>
      </c>
      <c r="G1815" t="s">
        <v>267</v>
      </c>
      <c r="H1815">
        <v>10636.845852710499</v>
      </c>
      <c r="I1815" t="s">
        <v>283</v>
      </c>
      <c r="J1815" t="s">
        <v>265</v>
      </c>
      <c r="K1815">
        <v>267568</v>
      </c>
      <c r="L1815" t="s">
        <v>281</v>
      </c>
      <c r="M1815">
        <v>0.04</v>
      </c>
    </row>
    <row r="1816" spans="1:13" x14ac:dyDescent="0.25">
      <c r="A1816">
        <v>2020</v>
      </c>
      <c r="B1816" t="s">
        <v>259</v>
      </c>
      <c r="C1816">
        <v>27163</v>
      </c>
      <c r="D1816" t="s">
        <v>278</v>
      </c>
      <c r="E1816" t="s">
        <v>261</v>
      </c>
      <c r="F1816" t="s">
        <v>262</v>
      </c>
      <c r="G1816" t="s">
        <v>269</v>
      </c>
      <c r="H1816">
        <v>1291.27861322529</v>
      </c>
      <c r="I1816" t="s">
        <v>283</v>
      </c>
      <c r="J1816" t="s">
        <v>265</v>
      </c>
      <c r="K1816">
        <v>267568</v>
      </c>
      <c r="L1816" t="s">
        <v>281</v>
      </c>
      <c r="M1816">
        <v>0</v>
      </c>
    </row>
    <row r="1817" spans="1:13" x14ac:dyDescent="0.25">
      <c r="A1817">
        <v>2020</v>
      </c>
      <c r="B1817" t="s">
        <v>259</v>
      </c>
      <c r="C1817">
        <v>27163</v>
      </c>
      <c r="D1817" t="s">
        <v>278</v>
      </c>
      <c r="E1817" t="s">
        <v>261</v>
      </c>
      <c r="F1817" t="s">
        <v>268</v>
      </c>
      <c r="G1817" t="s">
        <v>263</v>
      </c>
      <c r="H1817">
        <v>3505.01754653321</v>
      </c>
      <c r="I1817" t="s">
        <v>283</v>
      </c>
      <c r="J1817" t="s">
        <v>265</v>
      </c>
      <c r="K1817">
        <v>267568</v>
      </c>
      <c r="L1817" t="s">
        <v>281</v>
      </c>
      <c r="M1817">
        <v>0.01</v>
      </c>
    </row>
    <row r="1818" spans="1:13" x14ac:dyDescent="0.25">
      <c r="A1818">
        <v>2020</v>
      </c>
      <c r="B1818" t="s">
        <v>259</v>
      </c>
      <c r="C1818">
        <v>27163</v>
      </c>
      <c r="D1818" t="s">
        <v>278</v>
      </c>
      <c r="E1818" t="s">
        <v>261</v>
      </c>
      <c r="F1818" t="s">
        <v>268</v>
      </c>
      <c r="G1818" t="s">
        <v>267</v>
      </c>
      <c r="H1818">
        <v>15258.4816254741</v>
      </c>
      <c r="I1818" t="s">
        <v>283</v>
      </c>
      <c r="J1818" t="s">
        <v>265</v>
      </c>
      <c r="K1818">
        <v>267568</v>
      </c>
      <c r="L1818" t="s">
        <v>281</v>
      </c>
      <c r="M1818">
        <v>0.06</v>
      </c>
    </row>
    <row r="1819" spans="1:13" x14ac:dyDescent="0.25">
      <c r="A1819">
        <v>2020</v>
      </c>
      <c r="B1819" t="s">
        <v>259</v>
      </c>
      <c r="C1819">
        <v>27163</v>
      </c>
      <c r="D1819" t="s">
        <v>278</v>
      </c>
      <c r="E1819" t="s">
        <v>261</v>
      </c>
      <c r="F1819" t="s">
        <v>270</v>
      </c>
      <c r="G1819" t="s">
        <v>263</v>
      </c>
      <c r="H1819">
        <v>58850.498228658304</v>
      </c>
      <c r="I1819" t="s">
        <v>283</v>
      </c>
      <c r="J1819" t="s">
        <v>265</v>
      </c>
      <c r="K1819">
        <v>267568</v>
      </c>
      <c r="L1819" t="s">
        <v>281</v>
      </c>
      <c r="M1819">
        <v>0.22</v>
      </c>
    </row>
    <row r="1820" spans="1:13" x14ac:dyDescent="0.25">
      <c r="A1820">
        <v>2020</v>
      </c>
      <c r="B1820" t="s">
        <v>259</v>
      </c>
      <c r="C1820">
        <v>27163</v>
      </c>
      <c r="D1820" t="s">
        <v>278</v>
      </c>
      <c r="E1820" t="s">
        <v>261</v>
      </c>
      <c r="F1820" t="s">
        <v>270</v>
      </c>
      <c r="G1820" t="s">
        <v>267</v>
      </c>
      <c r="H1820">
        <v>223922.061168549</v>
      </c>
      <c r="I1820" t="s">
        <v>283</v>
      </c>
      <c r="J1820" t="s">
        <v>265</v>
      </c>
      <c r="K1820">
        <v>267568</v>
      </c>
      <c r="L1820" t="s">
        <v>281</v>
      </c>
      <c r="M1820">
        <v>0.84</v>
      </c>
    </row>
    <row r="1821" spans="1:13" x14ac:dyDescent="0.25">
      <c r="A1821">
        <v>2020</v>
      </c>
      <c r="B1821" t="s">
        <v>259</v>
      </c>
      <c r="C1821">
        <v>27163</v>
      </c>
      <c r="D1821" t="s">
        <v>278</v>
      </c>
      <c r="E1821" t="s">
        <v>261</v>
      </c>
      <c r="F1821" t="s">
        <v>270</v>
      </c>
      <c r="G1821" t="s">
        <v>269</v>
      </c>
      <c r="H1821">
        <v>277.18223563584399</v>
      </c>
      <c r="I1821" t="s">
        <v>283</v>
      </c>
      <c r="J1821" t="s">
        <v>265</v>
      </c>
      <c r="K1821">
        <v>267568</v>
      </c>
      <c r="L1821" t="s">
        <v>281</v>
      </c>
      <c r="M1821">
        <v>0</v>
      </c>
    </row>
    <row r="1822" spans="1:13" x14ac:dyDescent="0.25">
      <c r="A1822">
        <v>2020</v>
      </c>
      <c r="B1822" t="s">
        <v>259</v>
      </c>
      <c r="C1822">
        <v>55093</v>
      </c>
      <c r="D1822" t="s">
        <v>279</v>
      </c>
      <c r="E1822" t="s">
        <v>261</v>
      </c>
      <c r="F1822" t="s">
        <v>262</v>
      </c>
      <c r="G1822" t="s">
        <v>263</v>
      </c>
      <c r="H1822">
        <v>110467.44797266</v>
      </c>
      <c r="I1822" t="s">
        <v>283</v>
      </c>
      <c r="J1822" t="s">
        <v>265</v>
      </c>
      <c r="K1822">
        <v>42212</v>
      </c>
      <c r="L1822" t="s">
        <v>281</v>
      </c>
      <c r="M1822">
        <v>2.62</v>
      </c>
    </row>
    <row r="1823" spans="1:13" x14ac:dyDescent="0.25">
      <c r="A1823">
        <v>2020</v>
      </c>
      <c r="B1823" t="s">
        <v>259</v>
      </c>
      <c r="C1823">
        <v>55093</v>
      </c>
      <c r="D1823" t="s">
        <v>279</v>
      </c>
      <c r="E1823" t="s">
        <v>261</v>
      </c>
      <c r="F1823" t="s">
        <v>262</v>
      </c>
      <c r="G1823" t="s">
        <v>267</v>
      </c>
      <c r="H1823">
        <v>3893.09912177257</v>
      </c>
      <c r="I1823" t="s">
        <v>283</v>
      </c>
      <c r="J1823" t="s">
        <v>265</v>
      </c>
      <c r="K1823">
        <v>42212</v>
      </c>
      <c r="L1823" t="s">
        <v>281</v>
      </c>
      <c r="M1823">
        <v>0.09</v>
      </c>
    </row>
    <row r="1824" spans="1:13" x14ac:dyDescent="0.25">
      <c r="A1824">
        <v>2020</v>
      </c>
      <c r="B1824" t="s">
        <v>259</v>
      </c>
      <c r="C1824">
        <v>55093</v>
      </c>
      <c r="D1824" t="s">
        <v>279</v>
      </c>
      <c r="E1824" t="s">
        <v>261</v>
      </c>
      <c r="F1824" t="s">
        <v>262</v>
      </c>
      <c r="G1824" t="s">
        <v>269</v>
      </c>
      <c r="H1824">
        <v>252.225523333826</v>
      </c>
      <c r="I1824" t="s">
        <v>283</v>
      </c>
      <c r="J1824" t="s">
        <v>265</v>
      </c>
      <c r="K1824">
        <v>42212</v>
      </c>
      <c r="L1824" t="s">
        <v>281</v>
      </c>
      <c r="M1824">
        <v>0.01</v>
      </c>
    </row>
    <row r="1825" spans="1:13" x14ac:dyDescent="0.25">
      <c r="A1825">
        <v>2020</v>
      </c>
      <c r="B1825" t="s">
        <v>259</v>
      </c>
      <c r="C1825">
        <v>55093</v>
      </c>
      <c r="D1825" t="s">
        <v>279</v>
      </c>
      <c r="E1825" t="s">
        <v>261</v>
      </c>
      <c r="F1825" t="s">
        <v>268</v>
      </c>
      <c r="G1825" t="s">
        <v>263</v>
      </c>
      <c r="H1825">
        <v>243.57615184964499</v>
      </c>
      <c r="I1825" t="s">
        <v>283</v>
      </c>
      <c r="J1825" t="s">
        <v>265</v>
      </c>
      <c r="K1825">
        <v>42212</v>
      </c>
      <c r="L1825" t="s">
        <v>281</v>
      </c>
      <c r="M1825">
        <v>0.01</v>
      </c>
    </row>
    <row r="1826" spans="1:13" x14ac:dyDescent="0.25">
      <c r="A1826">
        <v>2020</v>
      </c>
      <c r="B1826" t="s">
        <v>259</v>
      </c>
      <c r="C1826">
        <v>55093</v>
      </c>
      <c r="D1826" t="s">
        <v>279</v>
      </c>
      <c r="E1826" t="s">
        <v>261</v>
      </c>
      <c r="F1826" t="s">
        <v>268</v>
      </c>
      <c r="G1826" t="s">
        <v>267</v>
      </c>
      <c r="H1826">
        <v>4306.3628892606102</v>
      </c>
      <c r="I1826" t="s">
        <v>283</v>
      </c>
      <c r="J1826" t="s">
        <v>265</v>
      </c>
      <c r="K1826">
        <v>42212</v>
      </c>
      <c r="L1826" t="s">
        <v>281</v>
      </c>
      <c r="M1826">
        <v>0.1</v>
      </c>
    </row>
    <row r="1827" spans="1:13" x14ac:dyDescent="0.25">
      <c r="A1827">
        <v>2020</v>
      </c>
      <c r="B1827" t="s">
        <v>259</v>
      </c>
      <c r="C1827">
        <v>55093</v>
      </c>
      <c r="D1827" t="s">
        <v>279</v>
      </c>
      <c r="E1827" t="s">
        <v>261</v>
      </c>
      <c r="F1827" t="s">
        <v>270</v>
      </c>
      <c r="G1827" t="s">
        <v>263</v>
      </c>
      <c r="H1827">
        <v>11039.1589797864</v>
      </c>
      <c r="I1827" t="s">
        <v>283</v>
      </c>
      <c r="J1827" t="s">
        <v>265</v>
      </c>
      <c r="K1827">
        <v>42212</v>
      </c>
      <c r="L1827" t="s">
        <v>281</v>
      </c>
      <c r="M1827">
        <v>0.26</v>
      </c>
    </row>
    <row r="1828" spans="1:13" x14ac:dyDescent="0.25">
      <c r="A1828">
        <v>2020</v>
      </c>
      <c r="B1828" t="s">
        <v>259</v>
      </c>
      <c r="C1828">
        <v>55093</v>
      </c>
      <c r="D1828" t="s">
        <v>279</v>
      </c>
      <c r="E1828" t="s">
        <v>261</v>
      </c>
      <c r="F1828" t="s">
        <v>270</v>
      </c>
      <c r="G1828" t="s">
        <v>267</v>
      </c>
      <c r="H1828">
        <v>45353.261802374902</v>
      </c>
      <c r="I1828" t="s">
        <v>283</v>
      </c>
      <c r="J1828" t="s">
        <v>265</v>
      </c>
      <c r="K1828">
        <v>42212</v>
      </c>
      <c r="L1828" t="s">
        <v>281</v>
      </c>
      <c r="M1828">
        <v>1.07</v>
      </c>
    </row>
    <row r="1829" spans="1:13" x14ac:dyDescent="0.25">
      <c r="A1829">
        <v>2020</v>
      </c>
      <c r="B1829" t="s">
        <v>259</v>
      </c>
      <c r="C1829">
        <v>55093</v>
      </c>
      <c r="D1829" t="s">
        <v>279</v>
      </c>
      <c r="E1829" t="s">
        <v>261</v>
      </c>
      <c r="F1829" t="s">
        <v>270</v>
      </c>
      <c r="G1829" t="s">
        <v>269</v>
      </c>
      <c r="H1829">
        <v>29.952110517320801</v>
      </c>
      <c r="I1829" t="s">
        <v>283</v>
      </c>
      <c r="J1829" t="s">
        <v>265</v>
      </c>
      <c r="K1829">
        <v>42212</v>
      </c>
      <c r="L1829" t="s">
        <v>281</v>
      </c>
      <c r="M1829">
        <v>0</v>
      </c>
    </row>
    <row r="1830" spans="1:13" x14ac:dyDescent="0.25">
      <c r="A1830">
        <v>2020</v>
      </c>
      <c r="B1830" t="s">
        <v>259</v>
      </c>
      <c r="C1830">
        <v>55109</v>
      </c>
      <c r="D1830" t="s">
        <v>280</v>
      </c>
      <c r="E1830" t="s">
        <v>261</v>
      </c>
      <c r="F1830" t="s">
        <v>262</v>
      </c>
      <c r="G1830" t="s">
        <v>263</v>
      </c>
      <c r="H1830">
        <v>328087.15506798198</v>
      </c>
      <c r="I1830" t="s">
        <v>283</v>
      </c>
      <c r="J1830" t="s">
        <v>265</v>
      </c>
      <c r="K1830">
        <v>93536</v>
      </c>
      <c r="L1830" t="s">
        <v>281</v>
      </c>
      <c r="M1830">
        <v>3.51</v>
      </c>
    </row>
    <row r="1831" spans="1:13" x14ac:dyDescent="0.25">
      <c r="A1831">
        <v>2020</v>
      </c>
      <c r="B1831" t="s">
        <v>259</v>
      </c>
      <c r="C1831">
        <v>55109</v>
      </c>
      <c r="D1831" t="s">
        <v>280</v>
      </c>
      <c r="E1831" t="s">
        <v>261</v>
      </c>
      <c r="F1831" t="s">
        <v>262</v>
      </c>
      <c r="G1831" t="s">
        <v>267</v>
      </c>
      <c r="H1831">
        <v>10672.3782031508</v>
      </c>
      <c r="I1831" t="s">
        <v>283</v>
      </c>
      <c r="J1831" t="s">
        <v>265</v>
      </c>
      <c r="K1831">
        <v>93536</v>
      </c>
      <c r="L1831" t="s">
        <v>281</v>
      </c>
      <c r="M1831">
        <v>0.11</v>
      </c>
    </row>
    <row r="1832" spans="1:13" x14ac:dyDescent="0.25">
      <c r="A1832">
        <v>2020</v>
      </c>
      <c r="B1832" t="s">
        <v>259</v>
      </c>
      <c r="C1832">
        <v>55109</v>
      </c>
      <c r="D1832" t="s">
        <v>280</v>
      </c>
      <c r="E1832" t="s">
        <v>261</v>
      </c>
      <c r="F1832" t="s">
        <v>262</v>
      </c>
      <c r="G1832" t="s">
        <v>269</v>
      </c>
      <c r="H1832">
        <v>753.78183484410897</v>
      </c>
      <c r="I1832" t="s">
        <v>283</v>
      </c>
      <c r="J1832" t="s">
        <v>265</v>
      </c>
      <c r="K1832">
        <v>93536</v>
      </c>
      <c r="L1832" t="s">
        <v>281</v>
      </c>
      <c r="M1832">
        <v>0.01</v>
      </c>
    </row>
    <row r="1833" spans="1:13" x14ac:dyDescent="0.25">
      <c r="A1833">
        <v>2020</v>
      </c>
      <c r="B1833" t="s">
        <v>259</v>
      </c>
      <c r="C1833">
        <v>55109</v>
      </c>
      <c r="D1833" t="s">
        <v>280</v>
      </c>
      <c r="E1833" t="s">
        <v>261</v>
      </c>
      <c r="F1833" t="s">
        <v>268</v>
      </c>
      <c r="G1833" t="s">
        <v>263</v>
      </c>
      <c r="H1833">
        <v>1139.22572611535</v>
      </c>
      <c r="I1833" t="s">
        <v>283</v>
      </c>
      <c r="J1833" t="s">
        <v>265</v>
      </c>
      <c r="K1833">
        <v>93536</v>
      </c>
      <c r="L1833" t="s">
        <v>281</v>
      </c>
      <c r="M1833">
        <v>0.01</v>
      </c>
    </row>
    <row r="1834" spans="1:13" x14ac:dyDescent="0.25">
      <c r="A1834">
        <v>2020</v>
      </c>
      <c r="B1834" t="s">
        <v>259</v>
      </c>
      <c r="C1834">
        <v>55109</v>
      </c>
      <c r="D1834" t="s">
        <v>280</v>
      </c>
      <c r="E1834" t="s">
        <v>261</v>
      </c>
      <c r="F1834" t="s">
        <v>268</v>
      </c>
      <c r="G1834" t="s">
        <v>267</v>
      </c>
      <c r="H1834">
        <v>15797.336865749099</v>
      </c>
      <c r="I1834" t="s">
        <v>283</v>
      </c>
      <c r="J1834" t="s">
        <v>265</v>
      </c>
      <c r="K1834">
        <v>93536</v>
      </c>
      <c r="L1834" t="s">
        <v>281</v>
      </c>
      <c r="M1834">
        <v>0.17</v>
      </c>
    </row>
    <row r="1835" spans="1:13" x14ac:dyDescent="0.25">
      <c r="A1835">
        <v>2020</v>
      </c>
      <c r="B1835" t="s">
        <v>259</v>
      </c>
      <c r="C1835">
        <v>55109</v>
      </c>
      <c r="D1835" t="s">
        <v>280</v>
      </c>
      <c r="E1835" t="s">
        <v>261</v>
      </c>
      <c r="F1835" t="s">
        <v>270</v>
      </c>
      <c r="G1835" t="s">
        <v>263</v>
      </c>
      <c r="H1835">
        <v>39731.155896353899</v>
      </c>
      <c r="I1835" t="s">
        <v>283</v>
      </c>
      <c r="J1835" t="s">
        <v>265</v>
      </c>
      <c r="K1835">
        <v>93536</v>
      </c>
      <c r="L1835" t="s">
        <v>281</v>
      </c>
      <c r="M1835">
        <v>0.42</v>
      </c>
    </row>
    <row r="1836" spans="1:13" x14ac:dyDescent="0.25">
      <c r="A1836">
        <v>2020</v>
      </c>
      <c r="B1836" t="s">
        <v>259</v>
      </c>
      <c r="C1836">
        <v>55109</v>
      </c>
      <c r="D1836" t="s">
        <v>280</v>
      </c>
      <c r="E1836" t="s">
        <v>261</v>
      </c>
      <c r="F1836" t="s">
        <v>270</v>
      </c>
      <c r="G1836" t="s">
        <v>267</v>
      </c>
      <c r="H1836">
        <v>387553.25334369199</v>
      </c>
      <c r="I1836" t="s">
        <v>283</v>
      </c>
      <c r="J1836" t="s">
        <v>265</v>
      </c>
      <c r="K1836">
        <v>93536</v>
      </c>
      <c r="L1836" t="s">
        <v>281</v>
      </c>
      <c r="M1836">
        <v>4.1399999999999997</v>
      </c>
    </row>
    <row r="1837" spans="1:13" x14ac:dyDescent="0.25">
      <c r="A1837">
        <v>2020</v>
      </c>
      <c r="B1837" t="s">
        <v>259</v>
      </c>
      <c r="C1837">
        <v>55109</v>
      </c>
      <c r="D1837" t="s">
        <v>280</v>
      </c>
      <c r="E1837" t="s">
        <v>261</v>
      </c>
      <c r="F1837" t="s">
        <v>270</v>
      </c>
      <c r="G1837" t="s">
        <v>269</v>
      </c>
      <c r="H1837">
        <v>105.72686854022</v>
      </c>
      <c r="I1837" t="s">
        <v>283</v>
      </c>
      <c r="J1837" t="s">
        <v>265</v>
      </c>
      <c r="K1837">
        <v>93536</v>
      </c>
      <c r="L1837" t="s">
        <v>281</v>
      </c>
      <c r="M1837">
        <v>0</v>
      </c>
    </row>
    <row r="1838" spans="1:13" x14ac:dyDescent="0.25">
      <c r="A1838">
        <v>2021</v>
      </c>
      <c r="B1838" t="s">
        <v>259</v>
      </c>
      <c r="C1838">
        <v>27003</v>
      </c>
      <c r="D1838" t="s">
        <v>260</v>
      </c>
      <c r="E1838" t="s">
        <v>261</v>
      </c>
      <c r="F1838" t="s">
        <v>262</v>
      </c>
      <c r="G1838" t="s">
        <v>263</v>
      </c>
      <c r="H1838">
        <v>962228.50421746494</v>
      </c>
      <c r="I1838" t="s">
        <v>284</v>
      </c>
      <c r="J1838" t="s">
        <v>285</v>
      </c>
      <c r="K1838">
        <v>360773</v>
      </c>
      <c r="L1838" t="s">
        <v>286</v>
      </c>
      <c r="M1838">
        <v>2.67</v>
      </c>
    </row>
    <row r="1839" spans="1:13" x14ac:dyDescent="0.25">
      <c r="A1839">
        <v>2021</v>
      </c>
      <c r="B1839" t="s">
        <v>259</v>
      </c>
      <c r="C1839">
        <v>27003</v>
      </c>
      <c r="D1839" t="s">
        <v>260</v>
      </c>
      <c r="E1839" t="s">
        <v>261</v>
      </c>
      <c r="F1839" t="s">
        <v>262</v>
      </c>
      <c r="G1839" t="s">
        <v>267</v>
      </c>
      <c r="H1839">
        <v>24811.319051383802</v>
      </c>
      <c r="I1839" t="s">
        <v>284</v>
      </c>
      <c r="J1839" t="s">
        <v>285</v>
      </c>
      <c r="K1839">
        <v>360773</v>
      </c>
      <c r="L1839" t="s">
        <v>286</v>
      </c>
      <c r="M1839">
        <v>7.0000000000000007E-2</v>
      </c>
    </row>
    <row r="1840" spans="1:13" x14ac:dyDescent="0.25">
      <c r="A1840">
        <v>2021</v>
      </c>
      <c r="B1840" t="s">
        <v>259</v>
      </c>
      <c r="C1840">
        <v>27003</v>
      </c>
      <c r="D1840" t="s">
        <v>260</v>
      </c>
      <c r="E1840" t="s">
        <v>261</v>
      </c>
      <c r="F1840" t="s">
        <v>262</v>
      </c>
      <c r="G1840" t="s">
        <v>269</v>
      </c>
      <c r="H1840">
        <v>2000.6561717280399</v>
      </c>
      <c r="I1840" t="s">
        <v>284</v>
      </c>
      <c r="J1840" t="s">
        <v>285</v>
      </c>
      <c r="K1840">
        <v>360773</v>
      </c>
      <c r="L1840" t="s">
        <v>286</v>
      </c>
      <c r="M1840">
        <v>0.01</v>
      </c>
    </row>
    <row r="1841" spans="1:13" x14ac:dyDescent="0.25">
      <c r="A1841">
        <v>2021</v>
      </c>
      <c r="B1841" t="s">
        <v>259</v>
      </c>
      <c r="C1841">
        <v>27003</v>
      </c>
      <c r="D1841" t="s">
        <v>260</v>
      </c>
      <c r="E1841" t="s">
        <v>261</v>
      </c>
      <c r="F1841" t="s">
        <v>268</v>
      </c>
      <c r="G1841" t="s">
        <v>263</v>
      </c>
      <c r="H1841">
        <v>4588.7569293241504</v>
      </c>
      <c r="I1841" t="s">
        <v>284</v>
      </c>
      <c r="J1841" t="s">
        <v>285</v>
      </c>
      <c r="K1841">
        <v>360773</v>
      </c>
      <c r="L1841" t="s">
        <v>286</v>
      </c>
      <c r="M1841">
        <v>0.01</v>
      </c>
    </row>
    <row r="1842" spans="1:13" x14ac:dyDescent="0.25">
      <c r="A1842">
        <v>2021</v>
      </c>
      <c r="B1842" t="s">
        <v>259</v>
      </c>
      <c r="C1842">
        <v>27003</v>
      </c>
      <c r="D1842" t="s">
        <v>260</v>
      </c>
      <c r="E1842" t="s">
        <v>261</v>
      </c>
      <c r="F1842" t="s">
        <v>268</v>
      </c>
      <c r="G1842" t="s">
        <v>267</v>
      </c>
      <c r="H1842">
        <v>23613.218989059402</v>
      </c>
      <c r="I1842" t="s">
        <v>284</v>
      </c>
      <c r="J1842" t="s">
        <v>285</v>
      </c>
      <c r="K1842">
        <v>360773</v>
      </c>
      <c r="L1842" t="s">
        <v>286</v>
      </c>
      <c r="M1842">
        <v>7.0000000000000007E-2</v>
      </c>
    </row>
    <row r="1843" spans="1:13" x14ac:dyDescent="0.25">
      <c r="A1843">
        <v>2021</v>
      </c>
      <c r="B1843" t="s">
        <v>259</v>
      </c>
      <c r="C1843">
        <v>27003</v>
      </c>
      <c r="D1843" t="s">
        <v>260</v>
      </c>
      <c r="E1843" t="s">
        <v>261</v>
      </c>
      <c r="F1843" t="s">
        <v>270</v>
      </c>
      <c r="G1843" t="s">
        <v>263</v>
      </c>
      <c r="H1843">
        <v>97658.872219473007</v>
      </c>
      <c r="I1843" t="s">
        <v>284</v>
      </c>
      <c r="J1843" t="s">
        <v>285</v>
      </c>
      <c r="K1843">
        <v>360773</v>
      </c>
      <c r="L1843" t="s">
        <v>286</v>
      </c>
      <c r="M1843">
        <v>0.27</v>
      </c>
    </row>
    <row r="1844" spans="1:13" x14ac:dyDescent="0.25">
      <c r="A1844">
        <v>2021</v>
      </c>
      <c r="B1844" t="s">
        <v>259</v>
      </c>
      <c r="C1844">
        <v>27003</v>
      </c>
      <c r="D1844" t="s">
        <v>260</v>
      </c>
      <c r="E1844" t="s">
        <v>261</v>
      </c>
      <c r="F1844" t="s">
        <v>270</v>
      </c>
      <c r="G1844" t="s">
        <v>267</v>
      </c>
      <c r="H1844">
        <v>280667.94675201201</v>
      </c>
      <c r="I1844" t="s">
        <v>284</v>
      </c>
      <c r="J1844" t="s">
        <v>285</v>
      </c>
      <c r="K1844">
        <v>360773</v>
      </c>
      <c r="L1844" t="s">
        <v>286</v>
      </c>
      <c r="M1844">
        <v>0.78</v>
      </c>
    </row>
    <row r="1845" spans="1:13" x14ac:dyDescent="0.25">
      <c r="A1845">
        <v>2021</v>
      </c>
      <c r="B1845" t="s">
        <v>259</v>
      </c>
      <c r="C1845">
        <v>27003</v>
      </c>
      <c r="D1845" t="s">
        <v>260</v>
      </c>
      <c r="E1845" t="s">
        <v>261</v>
      </c>
      <c r="F1845" t="s">
        <v>270</v>
      </c>
      <c r="G1845" t="s">
        <v>269</v>
      </c>
      <c r="H1845">
        <v>322.97628097688698</v>
      </c>
      <c r="I1845" t="s">
        <v>284</v>
      </c>
      <c r="J1845" t="s">
        <v>285</v>
      </c>
      <c r="K1845">
        <v>360773</v>
      </c>
      <c r="L1845" t="s">
        <v>286</v>
      </c>
      <c r="M1845">
        <v>0</v>
      </c>
    </row>
    <row r="1846" spans="1:13" x14ac:dyDescent="0.25">
      <c r="A1846">
        <v>2021</v>
      </c>
      <c r="B1846" t="s">
        <v>259</v>
      </c>
      <c r="C1846">
        <v>27019</v>
      </c>
      <c r="D1846" t="s">
        <v>271</v>
      </c>
      <c r="E1846" t="s">
        <v>261</v>
      </c>
      <c r="F1846" t="s">
        <v>262</v>
      </c>
      <c r="G1846" t="s">
        <v>263</v>
      </c>
      <c r="H1846">
        <v>271330.25148155901</v>
      </c>
      <c r="I1846" t="s">
        <v>284</v>
      </c>
      <c r="J1846" t="s">
        <v>285</v>
      </c>
      <c r="K1846">
        <v>105694</v>
      </c>
      <c r="L1846" t="s">
        <v>286</v>
      </c>
      <c r="M1846">
        <v>2.57</v>
      </c>
    </row>
    <row r="1847" spans="1:13" x14ac:dyDescent="0.25">
      <c r="A1847">
        <v>2021</v>
      </c>
      <c r="B1847" t="s">
        <v>259</v>
      </c>
      <c r="C1847">
        <v>27019</v>
      </c>
      <c r="D1847" t="s">
        <v>271</v>
      </c>
      <c r="E1847" t="s">
        <v>261</v>
      </c>
      <c r="F1847" t="s">
        <v>262</v>
      </c>
      <c r="G1847" t="s">
        <v>267</v>
      </c>
      <c r="H1847">
        <v>4198.0996696297798</v>
      </c>
      <c r="I1847" t="s">
        <v>284</v>
      </c>
      <c r="J1847" t="s">
        <v>285</v>
      </c>
      <c r="K1847">
        <v>105694</v>
      </c>
      <c r="L1847" t="s">
        <v>286</v>
      </c>
      <c r="M1847">
        <v>0.04</v>
      </c>
    </row>
    <row r="1848" spans="1:13" x14ac:dyDescent="0.25">
      <c r="A1848">
        <v>2021</v>
      </c>
      <c r="B1848" t="s">
        <v>259</v>
      </c>
      <c r="C1848">
        <v>27019</v>
      </c>
      <c r="D1848" t="s">
        <v>271</v>
      </c>
      <c r="E1848" t="s">
        <v>261</v>
      </c>
      <c r="F1848" t="s">
        <v>262</v>
      </c>
      <c r="G1848" t="s">
        <v>269</v>
      </c>
      <c r="H1848">
        <v>487.01062260052697</v>
      </c>
      <c r="I1848" t="s">
        <v>284</v>
      </c>
      <c r="J1848" t="s">
        <v>285</v>
      </c>
      <c r="K1848">
        <v>105694</v>
      </c>
      <c r="L1848" t="s">
        <v>286</v>
      </c>
      <c r="M1848">
        <v>0</v>
      </c>
    </row>
    <row r="1849" spans="1:13" x14ac:dyDescent="0.25">
      <c r="A1849">
        <v>2021</v>
      </c>
      <c r="B1849" t="s">
        <v>259</v>
      </c>
      <c r="C1849">
        <v>27019</v>
      </c>
      <c r="D1849" t="s">
        <v>271</v>
      </c>
      <c r="E1849" t="s">
        <v>261</v>
      </c>
      <c r="F1849" t="s">
        <v>268</v>
      </c>
      <c r="G1849" t="s">
        <v>263</v>
      </c>
      <c r="H1849">
        <v>1238.7591159706701</v>
      </c>
      <c r="I1849" t="s">
        <v>284</v>
      </c>
      <c r="J1849" t="s">
        <v>285</v>
      </c>
      <c r="K1849">
        <v>105694</v>
      </c>
      <c r="L1849" t="s">
        <v>286</v>
      </c>
      <c r="M1849">
        <v>0.01</v>
      </c>
    </row>
    <row r="1850" spans="1:13" x14ac:dyDescent="0.25">
      <c r="A1850">
        <v>2021</v>
      </c>
      <c r="B1850" t="s">
        <v>259</v>
      </c>
      <c r="C1850">
        <v>27019</v>
      </c>
      <c r="D1850" t="s">
        <v>271</v>
      </c>
      <c r="E1850" t="s">
        <v>261</v>
      </c>
      <c r="F1850" t="s">
        <v>268</v>
      </c>
      <c r="G1850" t="s">
        <v>267</v>
      </c>
      <c r="H1850">
        <v>7486.6738523466101</v>
      </c>
      <c r="I1850" t="s">
        <v>284</v>
      </c>
      <c r="J1850" t="s">
        <v>285</v>
      </c>
      <c r="K1850">
        <v>105694</v>
      </c>
      <c r="L1850" t="s">
        <v>286</v>
      </c>
      <c r="M1850">
        <v>7.0000000000000007E-2</v>
      </c>
    </row>
    <row r="1851" spans="1:13" x14ac:dyDescent="0.25">
      <c r="A1851">
        <v>2021</v>
      </c>
      <c r="B1851" t="s">
        <v>259</v>
      </c>
      <c r="C1851">
        <v>27019</v>
      </c>
      <c r="D1851" t="s">
        <v>271</v>
      </c>
      <c r="E1851" t="s">
        <v>261</v>
      </c>
      <c r="F1851" t="s">
        <v>270</v>
      </c>
      <c r="G1851" t="s">
        <v>263</v>
      </c>
      <c r="H1851">
        <v>24922.985595936399</v>
      </c>
      <c r="I1851" t="s">
        <v>284</v>
      </c>
      <c r="J1851" t="s">
        <v>285</v>
      </c>
      <c r="K1851">
        <v>105694</v>
      </c>
      <c r="L1851" t="s">
        <v>286</v>
      </c>
      <c r="M1851">
        <v>0.24</v>
      </c>
    </row>
    <row r="1852" spans="1:13" x14ac:dyDescent="0.25">
      <c r="A1852">
        <v>2021</v>
      </c>
      <c r="B1852" t="s">
        <v>259</v>
      </c>
      <c r="C1852">
        <v>27019</v>
      </c>
      <c r="D1852" t="s">
        <v>271</v>
      </c>
      <c r="E1852" t="s">
        <v>261</v>
      </c>
      <c r="F1852" t="s">
        <v>270</v>
      </c>
      <c r="G1852" t="s">
        <v>267</v>
      </c>
      <c r="H1852">
        <v>85101.8432600097</v>
      </c>
      <c r="I1852" t="s">
        <v>284</v>
      </c>
      <c r="J1852" t="s">
        <v>285</v>
      </c>
      <c r="K1852">
        <v>105694</v>
      </c>
      <c r="L1852" t="s">
        <v>286</v>
      </c>
      <c r="M1852">
        <v>0.81</v>
      </c>
    </row>
    <row r="1853" spans="1:13" x14ac:dyDescent="0.25">
      <c r="A1853">
        <v>2021</v>
      </c>
      <c r="B1853" t="s">
        <v>259</v>
      </c>
      <c r="C1853">
        <v>27019</v>
      </c>
      <c r="D1853" t="s">
        <v>271</v>
      </c>
      <c r="E1853" t="s">
        <v>261</v>
      </c>
      <c r="F1853" t="s">
        <v>270</v>
      </c>
      <c r="G1853" t="s">
        <v>269</v>
      </c>
      <c r="H1853">
        <v>80.295900757203697</v>
      </c>
      <c r="I1853" t="s">
        <v>284</v>
      </c>
      <c r="J1853" t="s">
        <v>285</v>
      </c>
      <c r="K1853">
        <v>105694</v>
      </c>
      <c r="L1853" t="s">
        <v>286</v>
      </c>
      <c r="M1853">
        <v>0</v>
      </c>
    </row>
    <row r="1854" spans="1:13" x14ac:dyDescent="0.25">
      <c r="A1854">
        <v>2021</v>
      </c>
      <c r="B1854" t="s">
        <v>259</v>
      </c>
      <c r="C1854">
        <v>27025</v>
      </c>
      <c r="D1854" t="s">
        <v>272</v>
      </c>
      <c r="E1854" t="s">
        <v>261</v>
      </c>
      <c r="F1854" t="s">
        <v>262</v>
      </c>
      <c r="G1854" t="s">
        <v>263</v>
      </c>
      <c r="H1854">
        <v>237740.741742869</v>
      </c>
      <c r="I1854" t="s">
        <v>284</v>
      </c>
      <c r="J1854" t="s">
        <v>285</v>
      </c>
      <c r="K1854">
        <v>56328</v>
      </c>
      <c r="L1854" t="s">
        <v>286</v>
      </c>
      <c r="M1854">
        <v>4.22</v>
      </c>
    </row>
    <row r="1855" spans="1:13" x14ac:dyDescent="0.25">
      <c r="A1855">
        <v>2021</v>
      </c>
      <c r="B1855" t="s">
        <v>259</v>
      </c>
      <c r="C1855">
        <v>27025</v>
      </c>
      <c r="D1855" t="s">
        <v>272</v>
      </c>
      <c r="E1855" t="s">
        <v>261</v>
      </c>
      <c r="F1855" t="s">
        <v>262</v>
      </c>
      <c r="G1855" t="s">
        <v>267</v>
      </c>
      <c r="H1855">
        <v>6782.9580073004199</v>
      </c>
      <c r="I1855" t="s">
        <v>284</v>
      </c>
      <c r="J1855" t="s">
        <v>285</v>
      </c>
      <c r="K1855">
        <v>56328</v>
      </c>
      <c r="L1855" t="s">
        <v>286</v>
      </c>
      <c r="M1855">
        <v>0.12</v>
      </c>
    </row>
    <row r="1856" spans="1:13" x14ac:dyDescent="0.25">
      <c r="A1856">
        <v>2021</v>
      </c>
      <c r="B1856" t="s">
        <v>259</v>
      </c>
      <c r="C1856">
        <v>27025</v>
      </c>
      <c r="D1856" t="s">
        <v>272</v>
      </c>
      <c r="E1856" t="s">
        <v>261</v>
      </c>
      <c r="F1856" t="s">
        <v>262</v>
      </c>
      <c r="G1856" t="s">
        <v>269</v>
      </c>
      <c r="H1856">
        <v>482.30167475765597</v>
      </c>
      <c r="I1856" t="s">
        <v>284</v>
      </c>
      <c r="J1856" t="s">
        <v>285</v>
      </c>
      <c r="K1856">
        <v>56328</v>
      </c>
      <c r="L1856" t="s">
        <v>286</v>
      </c>
      <c r="M1856">
        <v>0.01</v>
      </c>
    </row>
    <row r="1857" spans="1:13" x14ac:dyDescent="0.25">
      <c r="A1857">
        <v>2021</v>
      </c>
      <c r="B1857" t="s">
        <v>259</v>
      </c>
      <c r="C1857">
        <v>27025</v>
      </c>
      <c r="D1857" t="s">
        <v>272</v>
      </c>
      <c r="E1857" t="s">
        <v>261</v>
      </c>
      <c r="F1857" t="s">
        <v>268</v>
      </c>
      <c r="G1857" t="s">
        <v>263</v>
      </c>
      <c r="H1857">
        <v>577.44213916107697</v>
      </c>
      <c r="I1857" t="s">
        <v>284</v>
      </c>
      <c r="J1857" t="s">
        <v>285</v>
      </c>
      <c r="K1857">
        <v>56328</v>
      </c>
      <c r="L1857" t="s">
        <v>286</v>
      </c>
      <c r="M1857">
        <v>0.01</v>
      </c>
    </row>
    <row r="1858" spans="1:13" x14ac:dyDescent="0.25">
      <c r="A1858">
        <v>2021</v>
      </c>
      <c r="B1858" t="s">
        <v>259</v>
      </c>
      <c r="C1858">
        <v>27025</v>
      </c>
      <c r="D1858" t="s">
        <v>272</v>
      </c>
      <c r="E1858" t="s">
        <v>261</v>
      </c>
      <c r="F1858" t="s">
        <v>268</v>
      </c>
      <c r="G1858" t="s">
        <v>267</v>
      </c>
      <c r="H1858">
        <v>7021.9050248324502</v>
      </c>
      <c r="I1858" t="s">
        <v>284</v>
      </c>
      <c r="J1858" t="s">
        <v>285</v>
      </c>
      <c r="K1858">
        <v>56328</v>
      </c>
      <c r="L1858" t="s">
        <v>286</v>
      </c>
      <c r="M1858">
        <v>0.12</v>
      </c>
    </row>
    <row r="1859" spans="1:13" x14ac:dyDescent="0.25">
      <c r="A1859">
        <v>2021</v>
      </c>
      <c r="B1859" t="s">
        <v>259</v>
      </c>
      <c r="C1859">
        <v>27025</v>
      </c>
      <c r="D1859" t="s">
        <v>272</v>
      </c>
      <c r="E1859" t="s">
        <v>261</v>
      </c>
      <c r="F1859" t="s">
        <v>270</v>
      </c>
      <c r="G1859" t="s">
        <v>263</v>
      </c>
      <c r="H1859">
        <v>17302.317348090801</v>
      </c>
      <c r="I1859" t="s">
        <v>284</v>
      </c>
      <c r="J1859" t="s">
        <v>285</v>
      </c>
      <c r="K1859">
        <v>56328</v>
      </c>
      <c r="L1859" t="s">
        <v>286</v>
      </c>
      <c r="M1859">
        <v>0.31</v>
      </c>
    </row>
    <row r="1860" spans="1:13" x14ac:dyDescent="0.25">
      <c r="A1860">
        <v>2021</v>
      </c>
      <c r="B1860" t="s">
        <v>259</v>
      </c>
      <c r="C1860">
        <v>27025</v>
      </c>
      <c r="D1860" t="s">
        <v>272</v>
      </c>
      <c r="E1860" t="s">
        <v>261</v>
      </c>
      <c r="F1860" t="s">
        <v>270</v>
      </c>
      <c r="G1860" t="s">
        <v>267</v>
      </c>
      <c r="H1860">
        <v>107667.85511984301</v>
      </c>
      <c r="I1860" t="s">
        <v>284</v>
      </c>
      <c r="J1860" t="s">
        <v>285</v>
      </c>
      <c r="K1860">
        <v>56328</v>
      </c>
      <c r="L1860" t="s">
        <v>286</v>
      </c>
      <c r="M1860">
        <v>1.91</v>
      </c>
    </row>
    <row r="1861" spans="1:13" x14ac:dyDescent="0.25">
      <c r="A1861">
        <v>2021</v>
      </c>
      <c r="B1861" t="s">
        <v>259</v>
      </c>
      <c r="C1861">
        <v>27025</v>
      </c>
      <c r="D1861" t="s">
        <v>272</v>
      </c>
      <c r="E1861" t="s">
        <v>261</v>
      </c>
      <c r="F1861" t="s">
        <v>270</v>
      </c>
      <c r="G1861" t="s">
        <v>269</v>
      </c>
      <c r="H1861">
        <v>57.444935129583698</v>
      </c>
      <c r="I1861" t="s">
        <v>284</v>
      </c>
      <c r="J1861" t="s">
        <v>285</v>
      </c>
      <c r="K1861">
        <v>56328</v>
      </c>
      <c r="L1861" t="s">
        <v>286</v>
      </c>
      <c r="M1861">
        <v>0</v>
      </c>
    </row>
    <row r="1862" spans="1:13" x14ac:dyDescent="0.25">
      <c r="A1862">
        <v>2021</v>
      </c>
      <c r="B1862" t="s">
        <v>259</v>
      </c>
      <c r="C1862">
        <v>27037</v>
      </c>
      <c r="D1862" t="s">
        <v>273</v>
      </c>
      <c r="E1862" t="s">
        <v>261</v>
      </c>
      <c r="F1862" t="s">
        <v>262</v>
      </c>
      <c r="G1862" t="s">
        <v>263</v>
      </c>
      <c r="H1862">
        <v>1207571.03337133</v>
      </c>
      <c r="I1862" t="s">
        <v>284</v>
      </c>
      <c r="J1862" t="s">
        <v>285</v>
      </c>
      <c r="K1862">
        <v>435863</v>
      </c>
      <c r="L1862" t="s">
        <v>286</v>
      </c>
      <c r="M1862">
        <v>2.77</v>
      </c>
    </row>
    <row r="1863" spans="1:13" x14ac:dyDescent="0.25">
      <c r="A1863">
        <v>2021</v>
      </c>
      <c r="B1863" t="s">
        <v>259</v>
      </c>
      <c r="C1863">
        <v>27037</v>
      </c>
      <c r="D1863" t="s">
        <v>273</v>
      </c>
      <c r="E1863" t="s">
        <v>261</v>
      </c>
      <c r="F1863" t="s">
        <v>262</v>
      </c>
      <c r="G1863" t="s">
        <v>267</v>
      </c>
      <c r="H1863">
        <v>17401.5164380606</v>
      </c>
      <c r="I1863" t="s">
        <v>284</v>
      </c>
      <c r="J1863" t="s">
        <v>285</v>
      </c>
      <c r="K1863">
        <v>435863</v>
      </c>
      <c r="L1863" t="s">
        <v>286</v>
      </c>
      <c r="M1863">
        <v>0.04</v>
      </c>
    </row>
    <row r="1864" spans="1:13" x14ac:dyDescent="0.25">
      <c r="A1864">
        <v>2021</v>
      </c>
      <c r="B1864" t="s">
        <v>259</v>
      </c>
      <c r="C1864">
        <v>27037</v>
      </c>
      <c r="D1864" t="s">
        <v>273</v>
      </c>
      <c r="E1864" t="s">
        <v>261</v>
      </c>
      <c r="F1864" t="s">
        <v>262</v>
      </c>
      <c r="G1864" t="s">
        <v>269</v>
      </c>
      <c r="H1864">
        <v>2052.2100534575702</v>
      </c>
      <c r="I1864" t="s">
        <v>284</v>
      </c>
      <c r="J1864" t="s">
        <v>285</v>
      </c>
      <c r="K1864">
        <v>435863</v>
      </c>
      <c r="L1864" t="s">
        <v>286</v>
      </c>
      <c r="M1864">
        <v>0</v>
      </c>
    </row>
    <row r="1865" spans="1:13" x14ac:dyDescent="0.25">
      <c r="A1865">
        <v>2021</v>
      </c>
      <c r="B1865" t="s">
        <v>259</v>
      </c>
      <c r="C1865">
        <v>27037</v>
      </c>
      <c r="D1865" t="s">
        <v>273</v>
      </c>
      <c r="E1865" t="s">
        <v>261</v>
      </c>
      <c r="F1865" t="s">
        <v>268</v>
      </c>
      <c r="G1865" t="s">
        <v>263</v>
      </c>
      <c r="H1865">
        <v>5566.8473491149998</v>
      </c>
      <c r="I1865" t="s">
        <v>284</v>
      </c>
      <c r="J1865" t="s">
        <v>285</v>
      </c>
      <c r="K1865">
        <v>435863</v>
      </c>
      <c r="L1865" t="s">
        <v>286</v>
      </c>
      <c r="M1865">
        <v>0.01</v>
      </c>
    </row>
    <row r="1866" spans="1:13" x14ac:dyDescent="0.25">
      <c r="A1866">
        <v>2021</v>
      </c>
      <c r="B1866" t="s">
        <v>259</v>
      </c>
      <c r="C1866">
        <v>27037</v>
      </c>
      <c r="D1866" t="s">
        <v>273</v>
      </c>
      <c r="E1866" t="s">
        <v>261</v>
      </c>
      <c r="F1866" t="s">
        <v>268</v>
      </c>
      <c r="G1866" t="s">
        <v>267</v>
      </c>
      <c r="H1866">
        <v>32109.816557638202</v>
      </c>
      <c r="I1866" t="s">
        <v>284</v>
      </c>
      <c r="J1866" t="s">
        <v>285</v>
      </c>
      <c r="K1866">
        <v>435863</v>
      </c>
      <c r="L1866" t="s">
        <v>286</v>
      </c>
      <c r="M1866">
        <v>7.0000000000000007E-2</v>
      </c>
    </row>
    <row r="1867" spans="1:13" x14ac:dyDescent="0.25">
      <c r="A1867">
        <v>2021</v>
      </c>
      <c r="B1867" t="s">
        <v>259</v>
      </c>
      <c r="C1867">
        <v>27037</v>
      </c>
      <c r="D1867" t="s">
        <v>273</v>
      </c>
      <c r="E1867" t="s">
        <v>261</v>
      </c>
      <c r="F1867" t="s">
        <v>270</v>
      </c>
      <c r="G1867" t="s">
        <v>263</v>
      </c>
      <c r="H1867">
        <v>145967.28365713899</v>
      </c>
      <c r="I1867" t="s">
        <v>284</v>
      </c>
      <c r="J1867" t="s">
        <v>285</v>
      </c>
      <c r="K1867">
        <v>435863</v>
      </c>
      <c r="L1867" t="s">
        <v>286</v>
      </c>
      <c r="M1867">
        <v>0.33</v>
      </c>
    </row>
    <row r="1868" spans="1:13" x14ac:dyDescent="0.25">
      <c r="A1868">
        <v>2021</v>
      </c>
      <c r="B1868" t="s">
        <v>259</v>
      </c>
      <c r="C1868">
        <v>27037</v>
      </c>
      <c r="D1868" t="s">
        <v>273</v>
      </c>
      <c r="E1868" t="s">
        <v>261</v>
      </c>
      <c r="F1868" t="s">
        <v>270</v>
      </c>
      <c r="G1868" t="s">
        <v>267</v>
      </c>
      <c r="H1868">
        <v>410264.95588613098</v>
      </c>
      <c r="I1868" t="s">
        <v>284</v>
      </c>
      <c r="J1868" t="s">
        <v>285</v>
      </c>
      <c r="K1868">
        <v>435863</v>
      </c>
      <c r="L1868" t="s">
        <v>286</v>
      </c>
      <c r="M1868">
        <v>0.94</v>
      </c>
    </row>
    <row r="1869" spans="1:13" x14ac:dyDescent="0.25">
      <c r="A1869">
        <v>2021</v>
      </c>
      <c r="B1869" t="s">
        <v>259</v>
      </c>
      <c r="C1869">
        <v>27037</v>
      </c>
      <c r="D1869" t="s">
        <v>273</v>
      </c>
      <c r="E1869" t="s">
        <v>261</v>
      </c>
      <c r="F1869" t="s">
        <v>270</v>
      </c>
      <c r="G1869" t="s">
        <v>269</v>
      </c>
      <c r="H1869">
        <v>722.11142354021104</v>
      </c>
      <c r="I1869" t="s">
        <v>284</v>
      </c>
      <c r="J1869" t="s">
        <v>285</v>
      </c>
      <c r="K1869">
        <v>435863</v>
      </c>
      <c r="L1869" t="s">
        <v>286</v>
      </c>
      <c r="M1869">
        <v>0</v>
      </c>
    </row>
    <row r="1870" spans="1:13" x14ac:dyDescent="0.25">
      <c r="A1870">
        <v>2021</v>
      </c>
      <c r="B1870" t="s">
        <v>259</v>
      </c>
      <c r="C1870">
        <v>27053</v>
      </c>
      <c r="D1870" t="s">
        <v>274</v>
      </c>
      <c r="E1870" t="s">
        <v>261</v>
      </c>
      <c r="F1870" t="s">
        <v>262</v>
      </c>
      <c r="G1870" t="s">
        <v>263</v>
      </c>
      <c r="H1870">
        <v>3381549.04149854</v>
      </c>
      <c r="I1870" t="s">
        <v>284</v>
      </c>
      <c r="J1870" t="s">
        <v>285</v>
      </c>
      <c r="K1870">
        <v>1270283</v>
      </c>
      <c r="L1870" t="s">
        <v>286</v>
      </c>
      <c r="M1870">
        <v>2.66</v>
      </c>
    </row>
    <row r="1871" spans="1:13" x14ac:dyDescent="0.25">
      <c r="A1871">
        <v>2021</v>
      </c>
      <c r="B1871" t="s">
        <v>259</v>
      </c>
      <c r="C1871">
        <v>27053</v>
      </c>
      <c r="D1871" t="s">
        <v>274</v>
      </c>
      <c r="E1871" t="s">
        <v>261</v>
      </c>
      <c r="F1871" t="s">
        <v>262</v>
      </c>
      <c r="G1871" t="s">
        <v>267</v>
      </c>
      <c r="H1871">
        <v>48750.1162009658</v>
      </c>
      <c r="I1871" t="s">
        <v>284</v>
      </c>
      <c r="J1871" t="s">
        <v>285</v>
      </c>
      <c r="K1871">
        <v>1270283</v>
      </c>
      <c r="L1871" t="s">
        <v>286</v>
      </c>
      <c r="M1871">
        <v>0.04</v>
      </c>
    </row>
    <row r="1872" spans="1:13" x14ac:dyDescent="0.25">
      <c r="A1872">
        <v>2021</v>
      </c>
      <c r="B1872" t="s">
        <v>259</v>
      </c>
      <c r="C1872">
        <v>27053</v>
      </c>
      <c r="D1872" t="s">
        <v>274</v>
      </c>
      <c r="E1872" t="s">
        <v>261</v>
      </c>
      <c r="F1872" t="s">
        <v>262</v>
      </c>
      <c r="G1872" t="s">
        <v>269</v>
      </c>
      <c r="H1872">
        <v>5603.8744821691398</v>
      </c>
      <c r="I1872" t="s">
        <v>284</v>
      </c>
      <c r="J1872" t="s">
        <v>285</v>
      </c>
      <c r="K1872">
        <v>1270283</v>
      </c>
      <c r="L1872" t="s">
        <v>286</v>
      </c>
      <c r="M1872">
        <v>0</v>
      </c>
    </row>
    <row r="1873" spans="1:13" x14ac:dyDescent="0.25">
      <c r="A1873">
        <v>2021</v>
      </c>
      <c r="B1873" t="s">
        <v>259</v>
      </c>
      <c r="C1873">
        <v>27053</v>
      </c>
      <c r="D1873" t="s">
        <v>274</v>
      </c>
      <c r="E1873" t="s">
        <v>261</v>
      </c>
      <c r="F1873" t="s">
        <v>268</v>
      </c>
      <c r="G1873" t="s">
        <v>263</v>
      </c>
      <c r="H1873">
        <v>14586.052050386101</v>
      </c>
      <c r="I1873" t="s">
        <v>284</v>
      </c>
      <c r="J1873" t="s">
        <v>285</v>
      </c>
      <c r="K1873">
        <v>1270283</v>
      </c>
      <c r="L1873" t="s">
        <v>286</v>
      </c>
      <c r="M1873">
        <v>0.01</v>
      </c>
    </row>
    <row r="1874" spans="1:13" x14ac:dyDescent="0.25">
      <c r="A1874">
        <v>2021</v>
      </c>
      <c r="B1874" t="s">
        <v>259</v>
      </c>
      <c r="C1874">
        <v>27053</v>
      </c>
      <c r="D1874" t="s">
        <v>274</v>
      </c>
      <c r="E1874" t="s">
        <v>261</v>
      </c>
      <c r="F1874" t="s">
        <v>268</v>
      </c>
      <c r="G1874" t="s">
        <v>267</v>
      </c>
      <c r="H1874">
        <v>85110.071308957806</v>
      </c>
      <c r="I1874" t="s">
        <v>284</v>
      </c>
      <c r="J1874" t="s">
        <v>285</v>
      </c>
      <c r="K1874">
        <v>1270283</v>
      </c>
      <c r="L1874" t="s">
        <v>286</v>
      </c>
      <c r="M1874">
        <v>7.0000000000000007E-2</v>
      </c>
    </row>
    <row r="1875" spans="1:13" x14ac:dyDescent="0.25">
      <c r="A1875">
        <v>2021</v>
      </c>
      <c r="B1875" t="s">
        <v>259</v>
      </c>
      <c r="C1875">
        <v>27053</v>
      </c>
      <c r="D1875" t="s">
        <v>274</v>
      </c>
      <c r="E1875" t="s">
        <v>261</v>
      </c>
      <c r="F1875" t="s">
        <v>270</v>
      </c>
      <c r="G1875" t="s">
        <v>263</v>
      </c>
      <c r="H1875">
        <v>411977.70821076998</v>
      </c>
      <c r="I1875" t="s">
        <v>284</v>
      </c>
      <c r="J1875" t="s">
        <v>285</v>
      </c>
      <c r="K1875">
        <v>1270283</v>
      </c>
      <c r="L1875" t="s">
        <v>286</v>
      </c>
      <c r="M1875">
        <v>0.32</v>
      </c>
    </row>
    <row r="1876" spans="1:13" x14ac:dyDescent="0.25">
      <c r="A1876">
        <v>2021</v>
      </c>
      <c r="B1876" t="s">
        <v>259</v>
      </c>
      <c r="C1876">
        <v>27053</v>
      </c>
      <c r="D1876" t="s">
        <v>274</v>
      </c>
      <c r="E1876" t="s">
        <v>261</v>
      </c>
      <c r="F1876" t="s">
        <v>270</v>
      </c>
      <c r="G1876" t="s">
        <v>267</v>
      </c>
      <c r="H1876">
        <v>1046640.89764829</v>
      </c>
      <c r="I1876" t="s">
        <v>284</v>
      </c>
      <c r="J1876" t="s">
        <v>285</v>
      </c>
      <c r="K1876">
        <v>1270283</v>
      </c>
      <c r="L1876" t="s">
        <v>286</v>
      </c>
      <c r="M1876">
        <v>0.82</v>
      </c>
    </row>
    <row r="1877" spans="1:13" x14ac:dyDescent="0.25">
      <c r="A1877">
        <v>2021</v>
      </c>
      <c r="B1877" t="s">
        <v>259</v>
      </c>
      <c r="C1877">
        <v>27053</v>
      </c>
      <c r="D1877" t="s">
        <v>274</v>
      </c>
      <c r="E1877" t="s">
        <v>261</v>
      </c>
      <c r="F1877" t="s">
        <v>270</v>
      </c>
      <c r="G1877" t="s">
        <v>269</v>
      </c>
      <c r="H1877">
        <v>1754.52070630291</v>
      </c>
      <c r="I1877" t="s">
        <v>284</v>
      </c>
      <c r="J1877" t="s">
        <v>285</v>
      </c>
      <c r="K1877">
        <v>1270283</v>
      </c>
      <c r="L1877" t="s">
        <v>286</v>
      </c>
      <c r="M1877">
        <v>0</v>
      </c>
    </row>
    <row r="1878" spans="1:13" x14ac:dyDescent="0.25">
      <c r="A1878">
        <v>2021</v>
      </c>
      <c r="B1878" t="s">
        <v>259</v>
      </c>
      <c r="C1878">
        <v>27123</v>
      </c>
      <c r="D1878" t="s">
        <v>275</v>
      </c>
      <c r="E1878" t="s">
        <v>261</v>
      </c>
      <c r="F1878" t="s">
        <v>262</v>
      </c>
      <c r="G1878" t="s">
        <v>263</v>
      </c>
      <c r="H1878">
        <v>1453826.1652472899</v>
      </c>
      <c r="I1878" t="s">
        <v>284</v>
      </c>
      <c r="J1878" t="s">
        <v>285</v>
      </c>
      <c r="K1878">
        <v>549377</v>
      </c>
      <c r="L1878" t="s">
        <v>286</v>
      </c>
      <c r="M1878">
        <v>2.65</v>
      </c>
    </row>
    <row r="1879" spans="1:13" x14ac:dyDescent="0.25">
      <c r="A1879">
        <v>2021</v>
      </c>
      <c r="B1879" t="s">
        <v>259</v>
      </c>
      <c r="C1879">
        <v>27123</v>
      </c>
      <c r="D1879" t="s">
        <v>275</v>
      </c>
      <c r="E1879" t="s">
        <v>261</v>
      </c>
      <c r="F1879" t="s">
        <v>262</v>
      </c>
      <c r="G1879" t="s">
        <v>267</v>
      </c>
      <c r="H1879">
        <v>35803.557131388203</v>
      </c>
      <c r="I1879" t="s">
        <v>284</v>
      </c>
      <c r="J1879" t="s">
        <v>285</v>
      </c>
      <c r="K1879">
        <v>549377</v>
      </c>
      <c r="L1879" t="s">
        <v>286</v>
      </c>
      <c r="M1879">
        <v>7.0000000000000007E-2</v>
      </c>
    </row>
    <row r="1880" spans="1:13" x14ac:dyDescent="0.25">
      <c r="A1880">
        <v>2021</v>
      </c>
      <c r="B1880" t="s">
        <v>259</v>
      </c>
      <c r="C1880">
        <v>27123</v>
      </c>
      <c r="D1880" t="s">
        <v>275</v>
      </c>
      <c r="E1880" t="s">
        <v>261</v>
      </c>
      <c r="F1880" t="s">
        <v>262</v>
      </c>
      <c r="G1880" t="s">
        <v>269</v>
      </c>
      <c r="H1880">
        <v>2894.5652222455401</v>
      </c>
      <c r="I1880" t="s">
        <v>284</v>
      </c>
      <c r="J1880" t="s">
        <v>285</v>
      </c>
      <c r="K1880">
        <v>549377</v>
      </c>
      <c r="L1880" t="s">
        <v>286</v>
      </c>
      <c r="M1880">
        <v>0.01</v>
      </c>
    </row>
    <row r="1881" spans="1:13" x14ac:dyDescent="0.25">
      <c r="A1881">
        <v>2021</v>
      </c>
      <c r="B1881" t="s">
        <v>259</v>
      </c>
      <c r="C1881">
        <v>27123</v>
      </c>
      <c r="D1881" t="s">
        <v>275</v>
      </c>
      <c r="E1881" t="s">
        <v>261</v>
      </c>
      <c r="F1881" t="s">
        <v>268</v>
      </c>
      <c r="G1881" t="s">
        <v>263</v>
      </c>
      <c r="H1881">
        <v>4344.9752975353103</v>
      </c>
      <c r="I1881" t="s">
        <v>284</v>
      </c>
      <c r="J1881" t="s">
        <v>285</v>
      </c>
      <c r="K1881">
        <v>549377</v>
      </c>
      <c r="L1881" t="s">
        <v>286</v>
      </c>
      <c r="M1881">
        <v>0.01</v>
      </c>
    </row>
    <row r="1882" spans="1:13" x14ac:dyDescent="0.25">
      <c r="A1882">
        <v>2021</v>
      </c>
      <c r="B1882" t="s">
        <v>259</v>
      </c>
      <c r="C1882">
        <v>27123</v>
      </c>
      <c r="D1882" t="s">
        <v>275</v>
      </c>
      <c r="E1882" t="s">
        <v>261</v>
      </c>
      <c r="F1882" t="s">
        <v>268</v>
      </c>
      <c r="G1882" t="s">
        <v>267</v>
      </c>
      <c r="H1882">
        <v>34864.692816675997</v>
      </c>
      <c r="I1882" t="s">
        <v>284</v>
      </c>
      <c r="J1882" t="s">
        <v>285</v>
      </c>
      <c r="K1882">
        <v>549377</v>
      </c>
      <c r="L1882" t="s">
        <v>286</v>
      </c>
      <c r="M1882">
        <v>0.06</v>
      </c>
    </row>
    <row r="1883" spans="1:13" x14ac:dyDescent="0.25">
      <c r="A1883">
        <v>2021</v>
      </c>
      <c r="B1883" t="s">
        <v>259</v>
      </c>
      <c r="C1883">
        <v>27123</v>
      </c>
      <c r="D1883" t="s">
        <v>275</v>
      </c>
      <c r="E1883" t="s">
        <v>261</v>
      </c>
      <c r="F1883" t="s">
        <v>270</v>
      </c>
      <c r="G1883" t="s">
        <v>263</v>
      </c>
      <c r="H1883">
        <v>187723.724053991</v>
      </c>
      <c r="I1883" t="s">
        <v>284</v>
      </c>
      <c r="J1883" t="s">
        <v>285</v>
      </c>
      <c r="K1883">
        <v>549377</v>
      </c>
      <c r="L1883" t="s">
        <v>286</v>
      </c>
      <c r="M1883">
        <v>0.34</v>
      </c>
    </row>
    <row r="1884" spans="1:13" x14ac:dyDescent="0.25">
      <c r="A1884">
        <v>2021</v>
      </c>
      <c r="B1884" t="s">
        <v>259</v>
      </c>
      <c r="C1884">
        <v>27123</v>
      </c>
      <c r="D1884" t="s">
        <v>275</v>
      </c>
      <c r="E1884" t="s">
        <v>261</v>
      </c>
      <c r="F1884" t="s">
        <v>270</v>
      </c>
      <c r="G1884" t="s">
        <v>267</v>
      </c>
      <c r="H1884">
        <v>481779.39140690299</v>
      </c>
      <c r="I1884" t="s">
        <v>284</v>
      </c>
      <c r="J1884" t="s">
        <v>285</v>
      </c>
      <c r="K1884">
        <v>549377</v>
      </c>
      <c r="L1884" t="s">
        <v>286</v>
      </c>
      <c r="M1884">
        <v>0.88</v>
      </c>
    </row>
    <row r="1885" spans="1:13" x14ac:dyDescent="0.25">
      <c r="A1885">
        <v>2021</v>
      </c>
      <c r="B1885" t="s">
        <v>259</v>
      </c>
      <c r="C1885">
        <v>27123</v>
      </c>
      <c r="D1885" t="s">
        <v>275</v>
      </c>
      <c r="E1885" t="s">
        <v>261</v>
      </c>
      <c r="F1885" t="s">
        <v>270</v>
      </c>
      <c r="G1885" t="s">
        <v>269</v>
      </c>
      <c r="H1885">
        <v>574.11689355442002</v>
      </c>
      <c r="I1885" t="s">
        <v>284</v>
      </c>
      <c r="J1885" t="s">
        <v>285</v>
      </c>
      <c r="K1885">
        <v>549377</v>
      </c>
      <c r="L1885" t="s">
        <v>286</v>
      </c>
      <c r="M1885">
        <v>0</v>
      </c>
    </row>
    <row r="1886" spans="1:13" x14ac:dyDescent="0.25">
      <c r="A1886">
        <v>2021</v>
      </c>
      <c r="B1886" t="s">
        <v>259</v>
      </c>
      <c r="C1886">
        <v>27139</v>
      </c>
      <c r="D1886" t="s">
        <v>276</v>
      </c>
      <c r="E1886" t="s">
        <v>261</v>
      </c>
      <c r="F1886" t="s">
        <v>262</v>
      </c>
      <c r="G1886" t="s">
        <v>263</v>
      </c>
      <c r="H1886">
        <v>427332.65009008697</v>
      </c>
      <c r="I1886" t="s">
        <v>284</v>
      </c>
      <c r="J1886" t="s">
        <v>285</v>
      </c>
      <c r="K1886">
        <v>149568</v>
      </c>
      <c r="L1886" t="s">
        <v>286</v>
      </c>
      <c r="M1886">
        <v>2.86</v>
      </c>
    </row>
    <row r="1887" spans="1:13" x14ac:dyDescent="0.25">
      <c r="A1887">
        <v>2021</v>
      </c>
      <c r="B1887" t="s">
        <v>259</v>
      </c>
      <c r="C1887">
        <v>27139</v>
      </c>
      <c r="D1887" t="s">
        <v>276</v>
      </c>
      <c r="E1887" t="s">
        <v>261</v>
      </c>
      <c r="F1887" t="s">
        <v>262</v>
      </c>
      <c r="G1887" t="s">
        <v>267</v>
      </c>
      <c r="H1887">
        <v>6462.7035659478397</v>
      </c>
      <c r="I1887" t="s">
        <v>284</v>
      </c>
      <c r="J1887" t="s">
        <v>285</v>
      </c>
      <c r="K1887">
        <v>149568</v>
      </c>
      <c r="L1887" t="s">
        <v>286</v>
      </c>
      <c r="M1887">
        <v>0.04</v>
      </c>
    </row>
    <row r="1888" spans="1:13" x14ac:dyDescent="0.25">
      <c r="A1888">
        <v>2021</v>
      </c>
      <c r="B1888" t="s">
        <v>259</v>
      </c>
      <c r="C1888">
        <v>27139</v>
      </c>
      <c r="D1888" t="s">
        <v>276</v>
      </c>
      <c r="E1888" t="s">
        <v>261</v>
      </c>
      <c r="F1888" t="s">
        <v>262</v>
      </c>
      <c r="G1888" t="s">
        <v>269</v>
      </c>
      <c r="H1888">
        <v>748.16577720086605</v>
      </c>
      <c r="I1888" t="s">
        <v>284</v>
      </c>
      <c r="J1888" t="s">
        <v>285</v>
      </c>
      <c r="K1888">
        <v>149568</v>
      </c>
      <c r="L1888" t="s">
        <v>286</v>
      </c>
      <c r="M1888">
        <v>0.01</v>
      </c>
    </row>
    <row r="1889" spans="1:13" x14ac:dyDescent="0.25">
      <c r="A1889">
        <v>2021</v>
      </c>
      <c r="B1889" t="s">
        <v>259</v>
      </c>
      <c r="C1889">
        <v>27139</v>
      </c>
      <c r="D1889" t="s">
        <v>276</v>
      </c>
      <c r="E1889" t="s">
        <v>261</v>
      </c>
      <c r="F1889" t="s">
        <v>268</v>
      </c>
      <c r="G1889" t="s">
        <v>263</v>
      </c>
      <c r="H1889">
        <v>3372.0237200984602</v>
      </c>
      <c r="I1889" t="s">
        <v>284</v>
      </c>
      <c r="J1889" t="s">
        <v>285</v>
      </c>
      <c r="K1889">
        <v>149568</v>
      </c>
      <c r="L1889" t="s">
        <v>286</v>
      </c>
      <c r="M1889">
        <v>0.02</v>
      </c>
    </row>
    <row r="1890" spans="1:13" x14ac:dyDescent="0.25">
      <c r="A1890">
        <v>2021</v>
      </c>
      <c r="B1890" t="s">
        <v>259</v>
      </c>
      <c r="C1890">
        <v>27139</v>
      </c>
      <c r="D1890" t="s">
        <v>276</v>
      </c>
      <c r="E1890" t="s">
        <v>261</v>
      </c>
      <c r="F1890" t="s">
        <v>268</v>
      </c>
      <c r="G1890" t="s">
        <v>267</v>
      </c>
      <c r="H1890">
        <v>11690.136831578</v>
      </c>
      <c r="I1890" t="s">
        <v>284</v>
      </c>
      <c r="J1890" t="s">
        <v>285</v>
      </c>
      <c r="K1890">
        <v>149568</v>
      </c>
      <c r="L1890" t="s">
        <v>286</v>
      </c>
      <c r="M1890">
        <v>0.08</v>
      </c>
    </row>
    <row r="1891" spans="1:13" x14ac:dyDescent="0.25">
      <c r="A1891">
        <v>2021</v>
      </c>
      <c r="B1891" t="s">
        <v>259</v>
      </c>
      <c r="C1891">
        <v>27139</v>
      </c>
      <c r="D1891" t="s">
        <v>276</v>
      </c>
      <c r="E1891" t="s">
        <v>261</v>
      </c>
      <c r="F1891" t="s">
        <v>270</v>
      </c>
      <c r="G1891" t="s">
        <v>263</v>
      </c>
      <c r="H1891">
        <v>43236.775140691097</v>
      </c>
      <c r="I1891" t="s">
        <v>284</v>
      </c>
      <c r="J1891" t="s">
        <v>285</v>
      </c>
      <c r="K1891">
        <v>149568</v>
      </c>
      <c r="L1891" t="s">
        <v>286</v>
      </c>
      <c r="M1891">
        <v>0.28999999999999998</v>
      </c>
    </row>
    <row r="1892" spans="1:13" x14ac:dyDescent="0.25">
      <c r="A1892">
        <v>2021</v>
      </c>
      <c r="B1892" t="s">
        <v>259</v>
      </c>
      <c r="C1892">
        <v>27139</v>
      </c>
      <c r="D1892" t="s">
        <v>276</v>
      </c>
      <c r="E1892" t="s">
        <v>261</v>
      </c>
      <c r="F1892" t="s">
        <v>270</v>
      </c>
      <c r="G1892" t="s">
        <v>267</v>
      </c>
      <c r="H1892">
        <v>150417.400565291</v>
      </c>
      <c r="I1892" t="s">
        <v>284</v>
      </c>
      <c r="J1892" t="s">
        <v>285</v>
      </c>
      <c r="K1892">
        <v>149568</v>
      </c>
      <c r="L1892" t="s">
        <v>286</v>
      </c>
      <c r="M1892">
        <v>1.01</v>
      </c>
    </row>
    <row r="1893" spans="1:13" x14ac:dyDescent="0.25">
      <c r="A1893">
        <v>2021</v>
      </c>
      <c r="B1893" t="s">
        <v>259</v>
      </c>
      <c r="C1893">
        <v>27139</v>
      </c>
      <c r="D1893" t="s">
        <v>276</v>
      </c>
      <c r="E1893" t="s">
        <v>261</v>
      </c>
      <c r="F1893" t="s">
        <v>270</v>
      </c>
      <c r="G1893" t="s">
        <v>269</v>
      </c>
      <c r="H1893">
        <v>188.92463660535699</v>
      </c>
      <c r="I1893" t="s">
        <v>284</v>
      </c>
      <c r="J1893" t="s">
        <v>285</v>
      </c>
      <c r="K1893">
        <v>149568</v>
      </c>
      <c r="L1893" t="s">
        <v>286</v>
      </c>
      <c r="M1893">
        <v>0</v>
      </c>
    </row>
    <row r="1894" spans="1:13" x14ac:dyDescent="0.25">
      <c r="A1894">
        <v>2021</v>
      </c>
      <c r="B1894" t="s">
        <v>259</v>
      </c>
      <c r="C1894">
        <v>27141</v>
      </c>
      <c r="D1894" t="s">
        <v>277</v>
      </c>
      <c r="E1894" t="s">
        <v>261</v>
      </c>
      <c r="F1894" t="s">
        <v>262</v>
      </c>
      <c r="G1894" t="s">
        <v>263</v>
      </c>
      <c r="H1894">
        <v>294593.72637796501</v>
      </c>
      <c r="I1894" t="s">
        <v>284</v>
      </c>
      <c r="J1894" t="s">
        <v>285</v>
      </c>
      <c r="K1894">
        <v>96295</v>
      </c>
      <c r="L1894" t="s">
        <v>286</v>
      </c>
      <c r="M1894">
        <v>3.06</v>
      </c>
    </row>
    <row r="1895" spans="1:13" x14ac:dyDescent="0.25">
      <c r="A1895">
        <v>2021</v>
      </c>
      <c r="B1895" t="s">
        <v>259</v>
      </c>
      <c r="C1895">
        <v>27141</v>
      </c>
      <c r="D1895" t="s">
        <v>277</v>
      </c>
      <c r="E1895" t="s">
        <v>261</v>
      </c>
      <c r="F1895" t="s">
        <v>262</v>
      </c>
      <c r="G1895" t="s">
        <v>267</v>
      </c>
      <c r="H1895">
        <v>8086.9827225614699</v>
      </c>
      <c r="I1895" t="s">
        <v>284</v>
      </c>
      <c r="J1895" t="s">
        <v>285</v>
      </c>
      <c r="K1895">
        <v>96295</v>
      </c>
      <c r="L1895" t="s">
        <v>286</v>
      </c>
      <c r="M1895">
        <v>0.08</v>
      </c>
    </row>
    <row r="1896" spans="1:13" x14ac:dyDescent="0.25">
      <c r="A1896">
        <v>2021</v>
      </c>
      <c r="B1896" t="s">
        <v>259</v>
      </c>
      <c r="C1896">
        <v>27141</v>
      </c>
      <c r="D1896" t="s">
        <v>277</v>
      </c>
      <c r="E1896" t="s">
        <v>261</v>
      </c>
      <c r="F1896" t="s">
        <v>262</v>
      </c>
      <c r="G1896" t="s">
        <v>269</v>
      </c>
      <c r="H1896">
        <v>612.46757263411303</v>
      </c>
      <c r="I1896" t="s">
        <v>284</v>
      </c>
      <c r="J1896" t="s">
        <v>285</v>
      </c>
      <c r="K1896">
        <v>96295</v>
      </c>
      <c r="L1896" t="s">
        <v>286</v>
      </c>
      <c r="M1896">
        <v>0.01</v>
      </c>
    </row>
    <row r="1897" spans="1:13" x14ac:dyDescent="0.25">
      <c r="A1897">
        <v>2021</v>
      </c>
      <c r="B1897" t="s">
        <v>259</v>
      </c>
      <c r="C1897">
        <v>27141</v>
      </c>
      <c r="D1897" t="s">
        <v>277</v>
      </c>
      <c r="E1897" t="s">
        <v>261</v>
      </c>
      <c r="F1897" t="s">
        <v>268</v>
      </c>
      <c r="G1897" t="s">
        <v>263</v>
      </c>
      <c r="H1897">
        <v>1014.794971712</v>
      </c>
      <c r="I1897" t="s">
        <v>284</v>
      </c>
      <c r="J1897" t="s">
        <v>285</v>
      </c>
      <c r="K1897">
        <v>96295</v>
      </c>
      <c r="L1897" t="s">
        <v>286</v>
      </c>
      <c r="M1897">
        <v>0.01</v>
      </c>
    </row>
    <row r="1898" spans="1:13" x14ac:dyDescent="0.25">
      <c r="A1898">
        <v>2021</v>
      </c>
      <c r="B1898" t="s">
        <v>259</v>
      </c>
      <c r="C1898">
        <v>27141</v>
      </c>
      <c r="D1898" t="s">
        <v>277</v>
      </c>
      <c r="E1898" t="s">
        <v>261</v>
      </c>
      <c r="F1898" t="s">
        <v>268</v>
      </c>
      <c r="G1898" t="s">
        <v>267</v>
      </c>
      <c r="H1898">
        <v>9107.86694588922</v>
      </c>
      <c r="I1898" t="s">
        <v>284</v>
      </c>
      <c r="J1898" t="s">
        <v>285</v>
      </c>
      <c r="K1898">
        <v>96295</v>
      </c>
      <c r="L1898" t="s">
        <v>286</v>
      </c>
      <c r="M1898">
        <v>0.09</v>
      </c>
    </row>
    <row r="1899" spans="1:13" x14ac:dyDescent="0.25">
      <c r="A1899">
        <v>2021</v>
      </c>
      <c r="B1899" t="s">
        <v>259</v>
      </c>
      <c r="C1899">
        <v>27141</v>
      </c>
      <c r="D1899" t="s">
        <v>277</v>
      </c>
      <c r="E1899" t="s">
        <v>261</v>
      </c>
      <c r="F1899" t="s">
        <v>270</v>
      </c>
      <c r="G1899" t="s">
        <v>263</v>
      </c>
      <c r="H1899">
        <v>26817.6645807813</v>
      </c>
      <c r="I1899" t="s">
        <v>284</v>
      </c>
      <c r="J1899" t="s">
        <v>285</v>
      </c>
      <c r="K1899">
        <v>96295</v>
      </c>
      <c r="L1899" t="s">
        <v>286</v>
      </c>
      <c r="M1899">
        <v>0.28000000000000003</v>
      </c>
    </row>
    <row r="1900" spans="1:13" x14ac:dyDescent="0.25">
      <c r="A1900">
        <v>2021</v>
      </c>
      <c r="B1900" t="s">
        <v>259</v>
      </c>
      <c r="C1900">
        <v>27141</v>
      </c>
      <c r="D1900" t="s">
        <v>277</v>
      </c>
      <c r="E1900" t="s">
        <v>261</v>
      </c>
      <c r="F1900" t="s">
        <v>270</v>
      </c>
      <c r="G1900" t="s">
        <v>267</v>
      </c>
      <c r="H1900">
        <v>98157.923456888602</v>
      </c>
      <c r="I1900" t="s">
        <v>284</v>
      </c>
      <c r="J1900" t="s">
        <v>285</v>
      </c>
      <c r="K1900">
        <v>96295</v>
      </c>
      <c r="L1900" t="s">
        <v>286</v>
      </c>
      <c r="M1900">
        <v>1.02</v>
      </c>
    </row>
    <row r="1901" spans="1:13" x14ac:dyDescent="0.25">
      <c r="A1901">
        <v>2021</v>
      </c>
      <c r="B1901" t="s">
        <v>259</v>
      </c>
      <c r="C1901">
        <v>27141</v>
      </c>
      <c r="D1901" t="s">
        <v>277</v>
      </c>
      <c r="E1901" t="s">
        <v>261</v>
      </c>
      <c r="F1901" t="s">
        <v>270</v>
      </c>
      <c r="G1901" t="s">
        <v>269</v>
      </c>
      <c r="H1901">
        <v>88.480773603356695</v>
      </c>
      <c r="I1901" t="s">
        <v>284</v>
      </c>
      <c r="J1901" t="s">
        <v>285</v>
      </c>
      <c r="K1901">
        <v>96295</v>
      </c>
      <c r="L1901" t="s">
        <v>286</v>
      </c>
      <c r="M1901">
        <v>0</v>
      </c>
    </row>
    <row r="1902" spans="1:13" x14ac:dyDescent="0.25">
      <c r="A1902">
        <v>2021</v>
      </c>
      <c r="B1902" t="s">
        <v>259</v>
      </c>
      <c r="C1902">
        <v>27163</v>
      </c>
      <c r="D1902" t="s">
        <v>278</v>
      </c>
      <c r="E1902" t="s">
        <v>261</v>
      </c>
      <c r="F1902" t="s">
        <v>262</v>
      </c>
      <c r="G1902" t="s">
        <v>263</v>
      </c>
      <c r="H1902">
        <v>727472.192711693</v>
      </c>
      <c r="I1902" t="s">
        <v>284</v>
      </c>
      <c r="J1902" t="s">
        <v>285</v>
      </c>
      <c r="K1902">
        <v>264818</v>
      </c>
      <c r="L1902" t="s">
        <v>286</v>
      </c>
      <c r="M1902">
        <v>2.75</v>
      </c>
    </row>
    <row r="1903" spans="1:13" x14ac:dyDescent="0.25">
      <c r="A1903">
        <v>2021</v>
      </c>
      <c r="B1903" t="s">
        <v>259</v>
      </c>
      <c r="C1903">
        <v>27163</v>
      </c>
      <c r="D1903" t="s">
        <v>278</v>
      </c>
      <c r="E1903" t="s">
        <v>261</v>
      </c>
      <c r="F1903" t="s">
        <v>262</v>
      </c>
      <c r="G1903" t="s">
        <v>267</v>
      </c>
      <c r="H1903">
        <v>10824.9709846437</v>
      </c>
      <c r="I1903" t="s">
        <v>284</v>
      </c>
      <c r="J1903" t="s">
        <v>285</v>
      </c>
      <c r="K1903">
        <v>264818</v>
      </c>
      <c r="L1903" t="s">
        <v>286</v>
      </c>
      <c r="M1903">
        <v>0.04</v>
      </c>
    </row>
    <row r="1904" spans="1:13" x14ac:dyDescent="0.25">
      <c r="A1904">
        <v>2021</v>
      </c>
      <c r="B1904" t="s">
        <v>259</v>
      </c>
      <c r="C1904">
        <v>27163</v>
      </c>
      <c r="D1904" t="s">
        <v>278</v>
      </c>
      <c r="E1904" t="s">
        <v>261</v>
      </c>
      <c r="F1904" t="s">
        <v>262</v>
      </c>
      <c r="G1904" t="s">
        <v>269</v>
      </c>
      <c r="H1904">
        <v>1274.99345937258</v>
      </c>
      <c r="I1904" t="s">
        <v>284</v>
      </c>
      <c r="J1904" t="s">
        <v>285</v>
      </c>
      <c r="K1904">
        <v>264818</v>
      </c>
      <c r="L1904" t="s">
        <v>286</v>
      </c>
      <c r="M1904">
        <v>0</v>
      </c>
    </row>
    <row r="1905" spans="1:13" x14ac:dyDescent="0.25">
      <c r="A1905">
        <v>2021</v>
      </c>
      <c r="B1905" t="s">
        <v>259</v>
      </c>
      <c r="C1905">
        <v>27163</v>
      </c>
      <c r="D1905" t="s">
        <v>278</v>
      </c>
      <c r="E1905" t="s">
        <v>261</v>
      </c>
      <c r="F1905" t="s">
        <v>268</v>
      </c>
      <c r="G1905" t="s">
        <v>263</v>
      </c>
      <c r="H1905">
        <v>3842.73488137907</v>
      </c>
      <c r="I1905" t="s">
        <v>284</v>
      </c>
      <c r="J1905" t="s">
        <v>285</v>
      </c>
      <c r="K1905">
        <v>264818</v>
      </c>
      <c r="L1905" t="s">
        <v>286</v>
      </c>
      <c r="M1905">
        <v>0.01</v>
      </c>
    </row>
    <row r="1906" spans="1:13" x14ac:dyDescent="0.25">
      <c r="A1906">
        <v>2021</v>
      </c>
      <c r="B1906" t="s">
        <v>259</v>
      </c>
      <c r="C1906">
        <v>27163</v>
      </c>
      <c r="D1906" t="s">
        <v>278</v>
      </c>
      <c r="E1906" t="s">
        <v>261</v>
      </c>
      <c r="F1906" t="s">
        <v>268</v>
      </c>
      <c r="G1906" t="s">
        <v>267</v>
      </c>
      <c r="H1906">
        <v>16668.519377049299</v>
      </c>
      <c r="I1906" t="s">
        <v>284</v>
      </c>
      <c r="J1906" t="s">
        <v>285</v>
      </c>
      <c r="K1906">
        <v>264818</v>
      </c>
      <c r="L1906" t="s">
        <v>286</v>
      </c>
      <c r="M1906">
        <v>0.06</v>
      </c>
    </row>
    <row r="1907" spans="1:13" x14ac:dyDescent="0.25">
      <c r="A1907">
        <v>2021</v>
      </c>
      <c r="B1907" t="s">
        <v>259</v>
      </c>
      <c r="C1907">
        <v>27163</v>
      </c>
      <c r="D1907" t="s">
        <v>278</v>
      </c>
      <c r="E1907" t="s">
        <v>261</v>
      </c>
      <c r="F1907" t="s">
        <v>270</v>
      </c>
      <c r="G1907" t="s">
        <v>263</v>
      </c>
      <c r="H1907">
        <v>61502.487351625903</v>
      </c>
      <c r="I1907" t="s">
        <v>284</v>
      </c>
      <c r="J1907" t="s">
        <v>285</v>
      </c>
      <c r="K1907">
        <v>264818</v>
      </c>
      <c r="L1907" t="s">
        <v>286</v>
      </c>
      <c r="M1907">
        <v>0.23</v>
      </c>
    </row>
    <row r="1908" spans="1:13" x14ac:dyDescent="0.25">
      <c r="A1908">
        <v>2021</v>
      </c>
      <c r="B1908" t="s">
        <v>259</v>
      </c>
      <c r="C1908">
        <v>27163</v>
      </c>
      <c r="D1908" t="s">
        <v>278</v>
      </c>
      <c r="E1908" t="s">
        <v>261</v>
      </c>
      <c r="F1908" t="s">
        <v>270</v>
      </c>
      <c r="G1908" t="s">
        <v>267</v>
      </c>
      <c r="H1908">
        <v>236111.90700448499</v>
      </c>
      <c r="I1908" t="s">
        <v>284</v>
      </c>
      <c r="J1908" t="s">
        <v>285</v>
      </c>
      <c r="K1908">
        <v>264818</v>
      </c>
      <c r="L1908" t="s">
        <v>286</v>
      </c>
      <c r="M1908">
        <v>0.89</v>
      </c>
    </row>
    <row r="1909" spans="1:13" x14ac:dyDescent="0.25">
      <c r="A1909">
        <v>2021</v>
      </c>
      <c r="B1909" t="s">
        <v>259</v>
      </c>
      <c r="C1909">
        <v>27163</v>
      </c>
      <c r="D1909" t="s">
        <v>278</v>
      </c>
      <c r="E1909" t="s">
        <v>261</v>
      </c>
      <c r="F1909" t="s">
        <v>270</v>
      </c>
      <c r="G1909" t="s">
        <v>269</v>
      </c>
      <c r="H1909">
        <v>263.20898363574003</v>
      </c>
      <c r="I1909" t="s">
        <v>284</v>
      </c>
      <c r="J1909" t="s">
        <v>285</v>
      </c>
      <c r="K1909">
        <v>264818</v>
      </c>
      <c r="L1909" t="s">
        <v>286</v>
      </c>
      <c r="M1909">
        <v>0</v>
      </c>
    </row>
    <row r="1910" spans="1:13" x14ac:dyDescent="0.25">
      <c r="A1910">
        <v>2021</v>
      </c>
      <c r="B1910" t="s">
        <v>259</v>
      </c>
      <c r="C1910">
        <v>55093</v>
      </c>
      <c r="D1910" t="s">
        <v>279</v>
      </c>
      <c r="E1910" t="s">
        <v>261</v>
      </c>
      <c r="F1910" t="s">
        <v>262</v>
      </c>
      <c r="G1910" t="s">
        <v>263</v>
      </c>
      <c r="H1910">
        <v>112194.60237731</v>
      </c>
      <c r="I1910" t="s">
        <v>284</v>
      </c>
      <c r="J1910" t="s">
        <v>285</v>
      </c>
      <c r="K1910">
        <v>42204</v>
      </c>
      <c r="L1910" t="s">
        <v>286</v>
      </c>
      <c r="M1910">
        <v>2.66</v>
      </c>
    </row>
    <row r="1911" spans="1:13" x14ac:dyDescent="0.25">
      <c r="A1911">
        <v>2021</v>
      </c>
      <c r="B1911" t="s">
        <v>259</v>
      </c>
      <c r="C1911">
        <v>55093</v>
      </c>
      <c r="D1911" t="s">
        <v>279</v>
      </c>
      <c r="E1911" t="s">
        <v>261</v>
      </c>
      <c r="F1911" t="s">
        <v>262</v>
      </c>
      <c r="G1911" t="s">
        <v>267</v>
      </c>
      <c r="H1911">
        <v>4149.0831972228798</v>
      </c>
      <c r="I1911" t="s">
        <v>284</v>
      </c>
      <c r="J1911" t="s">
        <v>285</v>
      </c>
      <c r="K1911">
        <v>42204</v>
      </c>
      <c r="L1911" t="s">
        <v>286</v>
      </c>
      <c r="M1911">
        <v>0.1</v>
      </c>
    </row>
    <row r="1912" spans="1:13" x14ac:dyDescent="0.25">
      <c r="A1912">
        <v>2021</v>
      </c>
      <c r="B1912" t="s">
        <v>259</v>
      </c>
      <c r="C1912">
        <v>55093</v>
      </c>
      <c r="D1912" t="s">
        <v>279</v>
      </c>
      <c r="E1912" t="s">
        <v>261</v>
      </c>
      <c r="F1912" t="s">
        <v>262</v>
      </c>
      <c r="G1912" t="s">
        <v>269</v>
      </c>
      <c r="H1912">
        <v>254.04404330209101</v>
      </c>
      <c r="I1912" t="s">
        <v>284</v>
      </c>
      <c r="J1912" t="s">
        <v>285</v>
      </c>
      <c r="K1912">
        <v>42204</v>
      </c>
      <c r="L1912" t="s">
        <v>286</v>
      </c>
      <c r="M1912">
        <v>0.01</v>
      </c>
    </row>
    <row r="1913" spans="1:13" x14ac:dyDescent="0.25">
      <c r="A1913">
        <v>2021</v>
      </c>
      <c r="B1913" t="s">
        <v>259</v>
      </c>
      <c r="C1913">
        <v>55093</v>
      </c>
      <c r="D1913" t="s">
        <v>279</v>
      </c>
      <c r="E1913" t="s">
        <v>261</v>
      </c>
      <c r="F1913" t="s">
        <v>268</v>
      </c>
      <c r="G1913" t="s">
        <v>263</v>
      </c>
      <c r="H1913">
        <v>269.51867673103197</v>
      </c>
      <c r="I1913" t="s">
        <v>284</v>
      </c>
      <c r="J1913" t="s">
        <v>285</v>
      </c>
      <c r="K1913">
        <v>42204</v>
      </c>
      <c r="L1913" t="s">
        <v>286</v>
      </c>
      <c r="M1913">
        <v>0.01</v>
      </c>
    </row>
    <row r="1914" spans="1:13" x14ac:dyDescent="0.25">
      <c r="A1914">
        <v>2021</v>
      </c>
      <c r="B1914" t="s">
        <v>259</v>
      </c>
      <c r="C1914">
        <v>55093</v>
      </c>
      <c r="D1914" t="s">
        <v>279</v>
      </c>
      <c r="E1914" t="s">
        <v>261</v>
      </c>
      <c r="F1914" t="s">
        <v>268</v>
      </c>
      <c r="G1914" t="s">
        <v>267</v>
      </c>
      <c r="H1914">
        <v>4678.0186418118001</v>
      </c>
      <c r="I1914" t="s">
        <v>284</v>
      </c>
      <c r="J1914" t="s">
        <v>285</v>
      </c>
      <c r="K1914">
        <v>42204</v>
      </c>
      <c r="L1914" t="s">
        <v>286</v>
      </c>
      <c r="M1914">
        <v>0.11</v>
      </c>
    </row>
    <row r="1915" spans="1:13" x14ac:dyDescent="0.25">
      <c r="A1915">
        <v>2021</v>
      </c>
      <c r="B1915" t="s">
        <v>259</v>
      </c>
      <c r="C1915">
        <v>55093</v>
      </c>
      <c r="D1915" t="s">
        <v>279</v>
      </c>
      <c r="E1915" t="s">
        <v>261</v>
      </c>
      <c r="F1915" t="s">
        <v>270</v>
      </c>
      <c r="G1915" t="s">
        <v>263</v>
      </c>
      <c r="H1915">
        <v>11432.3535346792</v>
      </c>
      <c r="I1915" t="s">
        <v>284</v>
      </c>
      <c r="J1915" t="s">
        <v>285</v>
      </c>
      <c r="K1915">
        <v>42204</v>
      </c>
      <c r="L1915" t="s">
        <v>286</v>
      </c>
      <c r="M1915">
        <v>0.27</v>
      </c>
    </row>
    <row r="1916" spans="1:13" x14ac:dyDescent="0.25">
      <c r="A1916">
        <v>2021</v>
      </c>
      <c r="B1916" t="s">
        <v>259</v>
      </c>
      <c r="C1916">
        <v>55093</v>
      </c>
      <c r="D1916" t="s">
        <v>279</v>
      </c>
      <c r="E1916" t="s">
        <v>261</v>
      </c>
      <c r="F1916" t="s">
        <v>270</v>
      </c>
      <c r="G1916" t="s">
        <v>267</v>
      </c>
      <c r="H1916">
        <v>49406.653563352796</v>
      </c>
      <c r="I1916" t="s">
        <v>284</v>
      </c>
      <c r="J1916" t="s">
        <v>285</v>
      </c>
      <c r="K1916">
        <v>42204</v>
      </c>
      <c r="L1916" t="s">
        <v>286</v>
      </c>
      <c r="M1916">
        <v>1.17</v>
      </c>
    </row>
    <row r="1917" spans="1:13" x14ac:dyDescent="0.25">
      <c r="A1917">
        <v>2021</v>
      </c>
      <c r="B1917" t="s">
        <v>259</v>
      </c>
      <c r="C1917">
        <v>55093</v>
      </c>
      <c r="D1917" t="s">
        <v>279</v>
      </c>
      <c r="E1917" t="s">
        <v>261</v>
      </c>
      <c r="F1917" t="s">
        <v>270</v>
      </c>
      <c r="G1917" t="s">
        <v>269</v>
      </c>
      <c r="H1917">
        <v>28.448546264515699</v>
      </c>
      <c r="I1917" t="s">
        <v>284</v>
      </c>
      <c r="J1917" t="s">
        <v>285</v>
      </c>
      <c r="K1917">
        <v>42204</v>
      </c>
      <c r="L1917" t="s">
        <v>286</v>
      </c>
      <c r="M1917">
        <v>0</v>
      </c>
    </row>
    <row r="1918" spans="1:13" x14ac:dyDescent="0.25">
      <c r="A1918">
        <v>2021</v>
      </c>
      <c r="B1918" t="s">
        <v>259</v>
      </c>
      <c r="C1918">
        <v>55109</v>
      </c>
      <c r="D1918" t="s">
        <v>280</v>
      </c>
      <c r="E1918" t="s">
        <v>261</v>
      </c>
      <c r="F1918" t="s">
        <v>262</v>
      </c>
      <c r="G1918" t="s">
        <v>263</v>
      </c>
      <c r="H1918">
        <v>338037.76132636197</v>
      </c>
      <c r="I1918" t="s">
        <v>284</v>
      </c>
      <c r="J1918" t="s">
        <v>285</v>
      </c>
      <c r="K1918">
        <v>92495</v>
      </c>
      <c r="L1918" t="s">
        <v>286</v>
      </c>
      <c r="M1918">
        <v>3.65</v>
      </c>
    </row>
    <row r="1919" spans="1:13" x14ac:dyDescent="0.25">
      <c r="A1919">
        <v>2021</v>
      </c>
      <c r="B1919" t="s">
        <v>259</v>
      </c>
      <c r="C1919">
        <v>55109</v>
      </c>
      <c r="D1919" t="s">
        <v>280</v>
      </c>
      <c r="E1919" t="s">
        <v>261</v>
      </c>
      <c r="F1919" t="s">
        <v>262</v>
      </c>
      <c r="G1919" t="s">
        <v>267</v>
      </c>
      <c r="H1919">
        <v>11500.470400026101</v>
      </c>
      <c r="I1919" t="s">
        <v>284</v>
      </c>
      <c r="J1919" t="s">
        <v>285</v>
      </c>
      <c r="K1919">
        <v>92495</v>
      </c>
      <c r="L1919" t="s">
        <v>286</v>
      </c>
      <c r="M1919">
        <v>0.12</v>
      </c>
    </row>
    <row r="1920" spans="1:13" x14ac:dyDescent="0.25">
      <c r="A1920">
        <v>2021</v>
      </c>
      <c r="B1920" t="s">
        <v>259</v>
      </c>
      <c r="C1920">
        <v>55109</v>
      </c>
      <c r="D1920" t="s">
        <v>280</v>
      </c>
      <c r="E1920" t="s">
        <v>261</v>
      </c>
      <c r="F1920" t="s">
        <v>262</v>
      </c>
      <c r="G1920" t="s">
        <v>269</v>
      </c>
      <c r="H1920">
        <v>769.33344418068896</v>
      </c>
      <c r="I1920" t="s">
        <v>284</v>
      </c>
      <c r="J1920" t="s">
        <v>285</v>
      </c>
      <c r="K1920">
        <v>92495</v>
      </c>
      <c r="L1920" t="s">
        <v>286</v>
      </c>
      <c r="M1920">
        <v>0.01</v>
      </c>
    </row>
    <row r="1921" spans="1:13" x14ac:dyDescent="0.25">
      <c r="A1921">
        <v>2021</v>
      </c>
      <c r="B1921" t="s">
        <v>259</v>
      </c>
      <c r="C1921">
        <v>55109</v>
      </c>
      <c r="D1921" t="s">
        <v>280</v>
      </c>
      <c r="E1921" t="s">
        <v>261</v>
      </c>
      <c r="F1921" t="s">
        <v>268</v>
      </c>
      <c r="G1921" t="s">
        <v>263</v>
      </c>
      <c r="H1921">
        <v>1252.38491510175</v>
      </c>
      <c r="I1921" t="s">
        <v>284</v>
      </c>
      <c r="J1921" t="s">
        <v>285</v>
      </c>
      <c r="K1921">
        <v>92495</v>
      </c>
      <c r="L1921" t="s">
        <v>286</v>
      </c>
      <c r="M1921">
        <v>0.01</v>
      </c>
    </row>
    <row r="1922" spans="1:13" x14ac:dyDescent="0.25">
      <c r="A1922">
        <v>2021</v>
      </c>
      <c r="B1922" t="s">
        <v>259</v>
      </c>
      <c r="C1922">
        <v>55109</v>
      </c>
      <c r="D1922" t="s">
        <v>280</v>
      </c>
      <c r="E1922" t="s">
        <v>261</v>
      </c>
      <c r="F1922" t="s">
        <v>268</v>
      </c>
      <c r="G1922" t="s">
        <v>267</v>
      </c>
      <c r="H1922">
        <v>17221.390437898601</v>
      </c>
      <c r="I1922" t="s">
        <v>284</v>
      </c>
      <c r="J1922" t="s">
        <v>285</v>
      </c>
      <c r="K1922">
        <v>92495</v>
      </c>
      <c r="L1922" t="s">
        <v>286</v>
      </c>
      <c r="M1922">
        <v>0.19</v>
      </c>
    </row>
    <row r="1923" spans="1:13" x14ac:dyDescent="0.25">
      <c r="A1923">
        <v>2021</v>
      </c>
      <c r="B1923" t="s">
        <v>259</v>
      </c>
      <c r="C1923">
        <v>55109</v>
      </c>
      <c r="D1923" t="s">
        <v>280</v>
      </c>
      <c r="E1923" t="s">
        <v>261</v>
      </c>
      <c r="F1923" t="s">
        <v>270</v>
      </c>
      <c r="G1923" t="s">
        <v>263</v>
      </c>
      <c r="H1923">
        <v>41476.666129040997</v>
      </c>
      <c r="I1923" t="s">
        <v>284</v>
      </c>
      <c r="J1923" t="s">
        <v>285</v>
      </c>
      <c r="K1923">
        <v>92495</v>
      </c>
      <c r="L1923" t="s">
        <v>286</v>
      </c>
      <c r="M1923">
        <v>0.45</v>
      </c>
    </row>
    <row r="1924" spans="1:13" x14ac:dyDescent="0.25">
      <c r="A1924">
        <v>2021</v>
      </c>
      <c r="B1924" t="s">
        <v>259</v>
      </c>
      <c r="C1924">
        <v>55109</v>
      </c>
      <c r="D1924" t="s">
        <v>280</v>
      </c>
      <c r="E1924" t="s">
        <v>261</v>
      </c>
      <c r="F1924" t="s">
        <v>270</v>
      </c>
      <c r="G1924" t="s">
        <v>267</v>
      </c>
      <c r="H1924">
        <v>431360.653926456</v>
      </c>
      <c r="I1924" t="s">
        <v>284</v>
      </c>
      <c r="J1924" t="s">
        <v>285</v>
      </c>
      <c r="K1924">
        <v>92495</v>
      </c>
      <c r="L1924" t="s">
        <v>286</v>
      </c>
      <c r="M1924">
        <v>4.66</v>
      </c>
    </row>
    <row r="1925" spans="1:13" x14ac:dyDescent="0.25">
      <c r="A1925">
        <v>2021</v>
      </c>
      <c r="B1925" t="s">
        <v>259</v>
      </c>
      <c r="C1925">
        <v>55109</v>
      </c>
      <c r="D1925" t="s">
        <v>280</v>
      </c>
      <c r="E1925" t="s">
        <v>261</v>
      </c>
      <c r="F1925" t="s">
        <v>270</v>
      </c>
      <c r="G1925" t="s">
        <v>269</v>
      </c>
      <c r="H1925">
        <v>102.01149937590201</v>
      </c>
      <c r="I1925" t="s">
        <v>284</v>
      </c>
      <c r="J1925" t="s">
        <v>285</v>
      </c>
      <c r="K1925">
        <v>92495</v>
      </c>
      <c r="L1925" t="s">
        <v>286</v>
      </c>
      <c r="M1925">
        <v>0</v>
      </c>
    </row>
    <row r="1926" spans="1:13" x14ac:dyDescent="0.25">
      <c r="A1926">
        <v>2022</v>
      </c>
      <c r="B1926" t="s">
        <v>259</v>
      </c>
      <c r="C1926">
        <v>27003</v>
      </c>
      <c r="D1926" t="s">
        <v>260</v>
      </c>
      <c r="E1926" t="s">
        <v>261</v>
      </c>
      <c r="F1926" t="s">
        <v>262</v>
      </c>
      <c r="G1926" t="s">
        <v>263</v>
      </c>
      <c r="H1926">
        <v>927158.11387175205</v>
      </c>
      <c r="I1926" t="s">
        <v>284</v>
      </c>
      <c r="J1926" t="s">
        <v>285</v>
      </c>
      <c r="K1926">
        <v>363985</v>
      </c>
      <c r="L1926" t="s">
        <v>286</v>
      </c>
      <c r="M1926">
        <v>2.5499999999999998</v>
      </c>
    </row>
    <row r="1927" spans="1:13" x14ac:dyDescent="0.25">
      <c r="A1927">
        <v>2022</v>
      </c>
      <c r="B1927" t="s">
        <v>259</v>
      </c>
      <c r="C1927">
        <v>27003</v>
      </c>
      <c r="D1927" t="s">
        <v>260</v>
      </c>
      <c r="E1927" t="s">
        <v>261</v>
      </c>
      <c r="F1927" t="s">
        <v>262</v>
      </c>
      <c r="G1927" t="s">
        <v>267</v>
      </c>
      <c r="H1927">
        <v>24027.5042089538</v>
      </c>
      <c r="I1927" t="s">
        <v>284</v>
      </c>
      <c r="J1927" t="s">
        <v>285</v>
      </c>
      <c r="K1927">
        <v>363985</v>
      </c>
      <c r="L1927" t="s">
        <v>286</v>
      </c>
      <c r="M1927">
        <v>7.0000000000000007E-2</v>
      </c>
    </row>
    <row r="1928" spans="1:13" x14ac:dyDescent="0.25">
      <c r="A1928">
        <v>2022</v>
      </c>
      <c r="B1928" t="s">
        <v>259</v>
      </c>
      <c r="C1928">
        <v>27003</v>
      </c>
      <c r="D1928" t="s">
        <v>260</v>
      </c>
      <c r="E1928" t="s">
        <v>261</v>
      </c>
      <c r="F1928" t="s">
        <v>262</v>
      </c>
      <c r="G1928" t="s">
        <v>269</v>
      </c>
      <c r="H1928">
        <v>1957.5228923232501</v>
      </c>
      <c r="I1928" t="s">
        <v>284</v>
      </c>
      <c r="J1928" t="s">
        <v>285</v>
      </c>
      <c r="K1928">
        <v>363985</v>
      </c>
      <c r="L1928" t="s">
        <v>286</v>
      </c>
      <c r="M1928">
        <v>0.01</v>
      </c>
    </row>
    <row r="1929" spans="1:13" x14ac:dyDescent="0.25">
      <c r="A1929">
        <v>2022</v>
      </c>
      <c r="B1929" t="s">
        <v>259</v>
      </c>
      <c r="C1929">
        <v>27003</v>
      </c>
      <c r="D1929" t="s">
        <v>260</v>
      </c>
      <c r="E1929" t="s">
        <v>261</v>
      </c>
      <c r="F1929" t="s">
        <v>268</v>
      </c>
      <c r="G1929" t="s">
        <v>263</v>
      </c>
      <c r="H1929">
        <v>8360.2158055601794</v>
      </c>
      <c r="I1929" t="s">
        <v>284</v>
      </c>
      <c r="J1929" t="s">
        <v>285</v>
      </c>
      <c r="K1929">
        <v>363985</v>
      </c>
      <c r="L1929" t="s">
        <v>286</v>
      </c>
      <c r="M1929">
        <v>0.02</v>
      </c>
    </row>
    <row r="1930" spans="1:13" x14ac:dyDescent="0.25">
      <c r="A1930">
        <v>2022</v>
      </c>
      <c r="B1930" t="s">
        <v>259</v>
      </c>
      <c r="C1930">
        <v>27003</v>
      </c>
      <c r="D1930" t="s">
        <v>260</v>
      </c>
      <c r="E1930" t="s">
        <v>261</v>
      </c>
      <c r="F1930" t="s">
        <v>268</v>
      </c>
      <c r="G1930" t="s">
        <v>267</v>
      </c>
      <c r="H1930">
        <v>43815.532917553202</v>
      </c>
      <c r="I1930" t="s">
        <v>284</v>
      </c>
      <c r="J1930" t="s">
        <v>285</v>
      </c>
      <c r="K1930">
        <v>363985</v>
      </c>
      <c r="L1930" t="s">
        <v>286</v>
      </c>
      <c r="M1930">
        <v>0.12</v>
      </c>
    </row>
    <row r="1931" spans="1:13" x14ac:dyDescent="0.25">
      <c r="A1931">
        <v>2022</v>
      </c>
      <c r="B1931" t="s">
        <v>259</v>
      </c>
      <c r="C1931">
        <v>27003</v>
      </c>
      <c r="D1931" t="s">
        <v>260</v>
      </c>
      <c r="E1931" t="s">
        <v>261</v>
      </c>
      <c r="F1931" t="s">
        <v>270</v>
      </c>
      <c r="G1931" t="s">
        <v>263</v>
      </c>
      <c r="H1931">
        <v>102044.92744066</v>
      </c>
      <c r="I1931" t="s">
        <v>284</v>
      </c>
      <c r="J1931" t="s">
        <v>285</v>
      </c>
      <c r="K1931">
        <v>363985</v>
      </c>
      <c r="L1931" t="s">
        <v>286</v>
      </c>
      <c r="M1931">
        <v>0.28000000000000003</v>
      </c>
    </row>
    <row r="1932" spans="1:13" x14ac:dyDescent="0.25">
      <c r="A1932">
        <v>2022</v>
      </c>
      <c r="B1932" t="s">
        <v>259</v>
      </c>
      <c r="C1932">
        <v>27003</v>
      </c>
      <c r="D1932" t="s">
        <v>260</v>
      </c>
      <c r="E1932" t="s">
        <v>261</v>
      </c>
      <c r="F1932" t="s">
        <v>270</v>
      </c>
      <c r="G1932" t="s">
        <v>267</v>
      </c>
      <c r="H1932">
        <v>417784.76107625401</v>
      </c>
      <c r="I1932" t="s">
        <v>284</v>
      </c>
      <c r="J1932" t="s">
        <v>285</v>
      </c>
      <c r="K1932">
        <v>363985</v>
      </c>
      <c r="L1932" t="s">
        <v>286</v>
      </c>
      <c r="M1932">
        <v>1.1499999999999999</v>
      </c>
    </row>
    <row r="1933" spans="1:13" x14ac:dyDescent="0.25">
      <c r="A1933">
        <v>2022</v>
      </c>
      <c r="B1933" t="s">
        <v>259</v>
      </c>
      <c r="C1933">
        <v>27003</v>
      </c>
      <c r="D1933" t="s">
        <v>260</v>
      </c>
      <c r="E1933" t="s">
        <v>261</v>
      </c>
      <c r="F1933" t="s">
        <v>270</v>
      </c>
      <c r="G1933" t="s">
        <v>269</v>
      </c>
      <c r="H1933">
        <v>351.626711251686</v>
      </c>
      <c r="I1933" t="s">
        <v>284</v>
      </c>
      <c r="J1933" t="s">
        <v>285</v>
      </c>
      <c r="K1933">
        <v>363985</v>
      </c>
      <c r="L1933" t="s">
        <v>286</v>
      </c>
      <c r="M1933">
        <v>0</v>
      </c>
    </row>
    <row r="1934" spans="1:13" x14ac:dyDescent="0.25">
      <c r="A1934">
        <v>2022</v>
      </c>
      <c r="B1934" t="s">
        <v>259</v>
      </c>
      <c r="C1934">
        <v>27019</v>
      </c>
      <c r="D1934" t="s">
        <v>271</v>
      </c>
      <c r="E1934" t="s">
        <v>261</v>
      </c>
      <c r="F1934" t="s">
        <v>262</v>
      </c>
      <c r="G1934" t="s">
        <v>263</v>
      </c>
      <c r="H1934">
        <v>270640.681373414</v>
      </c>
      <c r="I1934" t="s">
        <v>284</v>
      </c>
      <c r="J1934" t="s">
        <v>285</v>
      </c>
      <c r="K1934">
        <v>107216</v>
      </c>
      <c r="L1934" t="s">
        <v>286</v>
      </c>
      <c r="M1934">
        <v>2.52</v>
      </c>
    </row>
    <row r="1935" spans="1:13" x14ac:dyDescent="0.25">
      <c r="A1935">
        <v>2022</v>
      </c>
      <c r="B1935" t="s">
        <v>259</v>
      </c>
      <c r="C1935">
        <v>27019</v>
      </c>
      <c r="D1935" t="s">
        <v>271</v>
      </c>
      <c r="E1935" t="s">
        <v>261</v>
      </c>
      <c r="F1935" t="s">
        <v>262</v>
      </c>
      <c r="G1935" t="s">
        <v>267</v>
      </c>
      <c r="H1935">
        <v>4203.3984396926899</v>
      </c>
      <c r="I1935" t="s">
        <v>284</v>
      </c>
      <c r="J1935" t="s">
        <v>285</v>
      </c>
      <c r="K1935">
        <v>107216</v>
      </c>
      <c r="L1935" t="s">
        <v>286</v>
      </c>
      <c r="M1935">
        <v>0.04</v>
      </c>
    </row>
    <row r="1936" spans="1:13" x14ac:dyDescent="0.25">
      <c r="A1936">
        <v>2022</v>
      </c>
      <c r="B1936" t="s">
        <v>259</v>
      </c>
      <c r="C1936">
        <v>27019</v>
      </c>
      <c r="D1936" t="s">
        <v>271</v>
      </c>
      <c r="E1936" t="s">
        <v>261</v>
      </c>
      <c r="F1936" t="s">
        <v>262</v>
      </c>
      <c r="G1936" t="s">
        <v>269</v>
      </c>
      <c r="H1936">
        <v>495.08966987039798</v>
      </c>
      <c r="I1936" t="s">
        <v>284</v>
      </c>
      <c r="J1936" t="s">
        <v>285</v>
      </c>
      <c r="K1936">
        <v>107216</v>
      </c>
      <c r="L1936" t="s">
        <v>286</v>
      </c>
      <c r="M1936">
        <v>0</v>
      </c>
    </row>
    <row r="1937" spans="1:13" x14ac:dyDescent="0.25">
      <c r="A1937">
        <v>2022</v>
      </c>
      <c r="B1937" t="s">
        <v>259</v>
      </c>
      <c r="C1937">
        <v>27019</v>
      </c>
      <c r="D1937" t="s">
        <v>271</v>
      </c>
      <c r="E1937" t="s">
        <v>261</v>
      </c>
      <c r="F1937" t="s">
        <v>268</v>
      </c>
      <c r="G1937" t="s">
        <v>263</v>
      </c>
      <c r="H1937">
        <v>1620.5864996139001</v>
      </c>
      <c r="I1937" t="s">
        <v>284</v>
      </c>
      <c r="J1937" t="s">
        <v>285</v>
      </c>
      <c r="K1937">
        <v>107216</v>
      </c>
      <c r="L1937" t="s">
        <v>286</v>
      </c>
      <c r="M1937">
        <v>0.02</v>
      </c>
    </row>
    <row r="1938" spans="1:13" x14ac:dyDescent="0.25">
      <c r="A1938">
        <v>2022</v>
      </c>
      <c r="B1938" t="s">
        <v>259</v>
      </c>
      <c r="C1938">
        <v>27019</v>
      </c>
      <c r="D1938" t="s">
        <v>271</v>
      </c>
      <c r="E1938" t="s">
        <v>261</v>
      </c>
      <c r="F1938" t="s">
        <v>268</v>
      </c>
      <c r="G1938" t="s">
        <v>267</v>
      </c>
      <c r="H1938">
        <v>9909.9133207568502</v>
      </c>
      <c r="I1938" t="s">
        <v>284</v>
      </c>
      <c r="J1938" t="s">
        <v>285</v>
      </c>
      <c r="K1938">
        <v>107216</v>
      </c>
      <c r="L1938" t="s">
        <v>286</v>
      </c>
      <c r="M1938">
        <v>0.09</v>
      </c>
    </row>
    <row r="1939" spans="1:13" x14ac:dyDescent="0.25">
      <c r="A1939">
        <v>2022</v>
      </c>
      <c r="B1939" t="s">
        <v>259</v>
      </c>
      <c r="C1939">
        <v>27019</v>
      </c>
      <c r="D1939" t="s">
        <v>271</v>
      </c>
      <c r="E1939" t="s">
        <v>261</v>
      </c>
      <c r="F1939" t="s">
        <v>270</v>
      </c>
      <c r="G1939" t="s">
        <v>263</v>
      </c>
      <c r="H1939">
        <v>25943.617572692801</v>
      </c>
      <c r="I1939" t="s">
        <v>284</v>
      </c>
      <c r="J1939" t="s">
        <v>285</v>
      </c>
      <c r="K1939">
        <v>107216</v>
      </c>
      <c r="L1939" t="s">
        <v>286</v>
      </c>
      <c r="M1939">
        <v>0.24</v>
      </c>
    </row>
    <row r="1940" spans="1:13" x14ac:dyDescent="0.25">
      <c r="A1940">
        <v>2022</v>
      </c>
      <c r="B1940" t="s">
        <v>259</v>
      </c>
      <c r="C1940">
        <v>27019</v>
      </c>
      <c r="D1940" t="s">
        <v>271</v>
      </c>
      <c r="E1940" t="s">
        <v>261</v>
      </c>
      <c r="F1940" t="s">
        <v>270</v>
      </c>
      <c r="G1940" t="s">
        <v>267</v>
      </c>
      <c r="H1940">
        <v>119852.43867641099</v>
      </c>
      <c r="I1940" t="s">
        <v>284</v>
      </c>
      <c r="J1940" t="s">
        <v>285</v>
      </c>
      <c r="K1940">
        <v>107216</v>
      </c>
      <c r="L1940" t="s">
        <v>286</v>
      </c>
      <c r="M1940">
        <v>1.1200000000000001</v>
      </c>
    </row>
    <row r="1941" spans="1:13" x14ac:dyDescent="0.25">
      <c r="A1941">
        <v>2022</v>
      </c>
      <c r="B1941" t="s">
        <v>259</v>
      </c>
      <c r="C1941">
        <v>27019</v>
      </c>
      <c r="D1941" t="s">
        <v>271</v>
      </c>
      <c r="E1941" t="s">
        <v>261</v>
      </c>
      <c r="F1941" t="s">
        <v>270</v>
      </c>
      <c r="G1941" t="s">
        <v>269</v>
      </c>
      <c r="H1941">
        <v>85.738507070449302</v>
      </c>
      <c r="I1941" t="s">
        <v>284</v>
      </c>
      <c r="J1941" t="s">
        <v>285</v>
      </c>
      <c r="K1941">
        <v>107216</v>
      </c>
      <c r="L1941" t="s">
        <v>286</v>
      </c>
      <c r="M1941">
        <v>0</v>
      </c>
    </row>
    <row r="1942" spans="1:13" x14ac:dyDescent="0.25">
      <c r="A1942">
        <v>2022</v>
      </c>
      <c r="B1942" t="s">
        <v>259</v>
      </c>
      <c r="C1942">
        <v>27025</v>
      </c>
      <c r="D1942" t="s">
        <v>272</v>
      </c>
      <c r="E1942" t="s">
        <v>261</v>
      </c>
      <c r="F1942" t="s">
        <v>262</v>
      </c>
      <c r="G1942" t="s">
        <v>263</v>
      </c>
      <c r="H1942">
        <v>226036.74669676699</v>
      </c>
      <c r="I1942" t="s">
        <v>284</v>
      </c>
      <c r="J1942" t="s">
        <v>285</v>
      </c>
      <c r="K1942">
        <v>56927</v>
      </c>
      <c r="L1942" t="s">
        <v>286</v>
      </c>
      <c r="M1942">
        <v>3.97</v>
      </c>
    </row>
    <row r="1943" spans="1:13" x14ac:dyDescent="0.25">
      <c r="A1943">
        <v>2022</v>
      </c>
      <c r="B1943" t="s">
        <v>259</v>
      </c>
      <c r="C1943">
        <v>27025</v>
      </c>
      <c r="D1943" t="s">
        <v>272</v>
      </c>
      <c r="E1943" t="s">
        <v>261</v>
      </c>
      <c r="F1943" t="s">
        <v>262</v>
      </c>
      <c r="G1943" t="s">
        <v>267</v>
      </c>
      <c r="H1943">
        <v>6475.1661237647604</v>
      </c>
      <c r="I1943" t="s">
        <v>284</v>
      </c>
      <c r="J1943" t="s">
        <v>285</v>
      </c>
      <c r="K1943">
        <v>56927</v>
      </c>
      <c r="L1943" t="s">
        <v>286</v>
      </c>
      <c r="M1943">
        <v>0.11</v>
      </c>
    </row>
    <row r="1944" spans="1:13" x14ac:dyDescent="0.25">
      <c r="A1944">
        <v>2022</v>
      </c>
      <c r="B1944" t="s">
        <v>259</v>
      </c>
      <c r="C1944">
        <v>27025</v>
      </c>
      <c r="D1944" t="s">
        <v>272</v>
      </c>
      <c r="E1944" t="s">
        <v>261</v>
      </c>
      <c r="F1944" t="s">
        <v>262</v>
      </c>
      <c r="G1944" t="s">
        <v>269</v>
      </c>
      <c r="H1944">
        <v>467.95618720698502</v>
      </c>
      <c r="I1944" t="s">
        <v>284</v>
      </c>
      <c r="J1944" t="s">
        <v>285</v>
      </c>
      <c r="K1944">
        <v>56927</v>
      </c>
      <c r="L1944" t="s">
        <v>286</v>
      </c>
      <c r="M1944">
        <v>0.01</v>
      </c>
    </row>
    <row r="1945" spans="1:13" x14ac:dyDescent="0.25">
      <c r="A1945">
        <v>2022</v>
      </c>
      <c r="B1945" t="s">
        <v>259</v>
      </c>
      <c r="C1945">
        <v>27025</v>
      </c>
      <c r="D1945" t="s">
        <v>272</v>
      </c>
      <c r="E1945" t="s">
        <v>261</v>
      </c>
      <c r="F1945" t="s">
        <v>268</v>
      </c>
      <c r="G1945" t="s">
        <v>263</v>
      </c>
      <c r="H1945">
        <v>577.45766885031298</v>
      </c>
      <c r="I1945" t="s">
        <v>284</v>
      </c>
      <c r="J1945" t="s">
        <v>285</v>
      </c>
      <c r="K1945">
        <v>56927</v>
      </c>
      <c r="L1945" t="s">
        <v>286</v>
      </c>
      <c r="M1945">
        <v>0.01</v>
      </c>
    </row>
    <row r="1946" spans="1:13" x14ac:dyDescent="0.25">
      <c r="A1946">
        <v>2022</v>
      </c>
      <c r="B1946" t="s">
        <v>259</v>
      </c>
      <c r="C1946">
        <v>27025</v>
      </c>
      <c r="D1946" t="s">
        <v>272</v>
      </c>
      <c r="E1946" t="s">
        <v>261</v>
      </c>
      <c r="F1946" t="s">
        <v>268</v>
      </c>
      <c r="G1946" t="s">
        <v>267</v>
      </c>
      <c r="H1946">
        <v>7159.6610930023398</v>
      </c>
      <c r="I1946" t="s">
        <v>284</v>
      </c>
      <c r="J1946" t="s">
        <v>285</v>
      </c>
      <c r="K1946">
        <v>56927</v>
      </c>
      <c r="L1946" t="s">
        <v>286</v>
      </c>
      <c r="M1946">
        <v>0.13</v>
      </c>
    </row>
    <row r="1947" spans="1:13" x14ac:dyDescent="0.25">
      <c r="A1947">
        <v>2022</v>
      </c>
      <c r="B1947" t="s">
        <v>259</v>
      </c>
      <c r="C1947">
        <v>27025</v>
      </c>
      <c r="D1947" t="s">
        <v>272</v>
      </c>
      <c r="E1947" t="s">
        <v>261</v>
      </c>
      <c r="F1947" t="s">
        <v>270</v>
      </c>
      <c r="G1947" t="s">
        <v>263</v>
      </c>
      <c r="H1947">
        <v>17234.028171669899</v>
      </c>
      <c r="I1947" t="s">
        <v>284</v>
      </c>
      <c r="J1947" t="s">
        <v>285</v>
      </c>
      <c r="K1947">
        <v>56927</v>
      </c>
      <c r="L1947" t="s">
        <v>286</v>
      </c>
      <c r="M1947">
        <v>0.3</v>
      </c>
    </row>
    <row r="1948" spans="1:13" x14ac:dyDescent="0.25">
      <c r="A1948">
        <v>2022</v>
      </c>
      <c r="B1948" t="s">
        <v>259</v>
      </c>
      <c r="C1948">
        <v>27025</v>
      </c>
      <c r="D1948" t="s">
        <v>272</v>
      </c>
      <c r="E1948" t="s">
        <v>261</v>
      </c>
      <c r="F1948" t="s">
        <v>270</v>
      </c>
      <c r="G1948" t="s">
        <v>267</v>
      </c>
      <c r="H1948">
        <v>129302.14554063301</v>
      </c>
      <c r="I1948" t="s">
        <v>284</v>
      </c>
      <c r="J1948" t="s">
        <v>285</v>
      </c>
      <c r="K1948">
        <v>56927</v>
      </c>
      <c r="L1948" t="s">
        <v>286</v>
      </c>
      <c r="M1948">
        <v>2.27</v>
      </c>
    </row>
    <row r="1949" spans="1:13" x14ac:dyDescent="0.25">
      <c r="A1949">
        <v>2022</v>
      </c>
      <c r="B1949" t="s">
        <v>259</v>
      </c>
      <c r="C1949">
        <v>27025</v>
      </c>
      <c r="D1949" t="s">
        <v>272</v>
      </c>
      <c r="E1949" t="s">
        <v>261</v>
      </c>
      <c r="F1949" t="s">
        <v>270</v>
      </c>
      <c r="G1949" t="s">
        <v>269</v>
      </c>
      <c r="H1949">
        <v>56.8651629975868</v>
      </c>
      <c r="I1949" t="s">
        <v>284</v>
      </c>
      <c r="J1949" t="s">
        <v>285</v>
      </c>
      <c r="K1949">
        <v>56927</v>
      </c>
      <c r="L1949" t="s">
        <v>286</v>
      </c>
      <c r="M1949">
        <v>0</v>
      </c>
    </row>
    <row r="1950" spans="1:13" x14ac:dyDescent="0.25">
      <c r="A1950">
        <v>2022</v>
      </c>
      <c r="B1950" t="s">
        <v>259</v>
      </c>
      <c r="C1950">
        <v>27037</v>
      </c>
      <c r="D1950" t="s">
        <v>273</v>
      </c>
      <c r="E1950" t="s">
        <v>261</v>
      </c>
      <c r="F1950" t="s">
        <v>262</v>
      </c>
      <c r="G1950" t="s">
        <v>263</v>
      </c>
      <c r="H1950">
        <v>1200912.41162168</v>
      </c>
      <c r="I1950" t="s">
        <v>284</v>
      </c>
      <c r="J1950" t="s">
        <v>285</v>
      </c>
      <c r="K1950">
        <v>439179</v>
      </c>
      <c r="L1950" t="s">
        <v>286</v>
      </c>
      <c r="M1950">
        <v>2.73</v>
      </c>
    </row>
    <row r="1951" spans="1:13" x14ac:dyDescent="0.25">
      <c r="A1951">
        <v>2022</v>
      </c>
      <c r="B1951" t="s">
        <v>259</v>
      </c>
      <c r="C1951">
        <v>27037</v>
      </c>
      <c r="D1951" t="s">
        <v>273</v>
      </c>
      <c r="E1951" t="s">
        <v>261</v>
      </c>
      <c r="F1951" t="s">
        <v>262</v>
      </c>
      <c r="G1951" t="s">
        <v>267</v>
      </c>
      <c r="H1951">
        <v>17339.7663000338</v>
      </c>
      <c r="I1951" t="s">
        <v>284</v>
      </c>
      <c r="J1951" t="s">
        <v>285</v>
      </c>
      <c r="K1951">
        <v>439179</v>
      </c>
      <c r="L1951" t="s">
        <v>286</v>
      </c>
      <c r="M1951">
        <v>0.04</v>
      </c>
    </row>
    <row r="1952" spans="1:13" x14ac:dyDescent="0.25">
      <c r="A1952">
        <v>2022</v>
      </c>
      <c r="B1952" t="s">
        <v>259</v>
      </c>
      <c r="C1952">
        <v>27037</v>
      </c>
      <c r="D1952" t="s">
        <v>273</v>
      </c>
      <c r="E1952" t="s">
        <v>261</v>
      </c>
      <c r="F1952" t="s">
        <v>262</v>
      </c>
      <c r="G1952" t="s">
        <v>269</v>
      </c>
      <c r="H1952">
        <v>2073.44535825203</v>
      </c>
      <c r="I1952" t="s">
        <v>284</v>
      </c>
      <c r="J1952" t="s">
        <v>285</v>
      </c>
      <c r="K1952">
        <v>439179</v>
      </c>
      <c r="L1952" t="s">
        <v>286</v>
      </c>
      <c r="M1952">
        <v>0</v>
      </c>
    </row>
    <row r="1953" spans="1:13" x14ac:dyDescent="0.25">
      <c r="A1953">
        <v>2022</v>
      </c>
      <c r="B1953" t="s">
        <v>259</v>
      </c>
      <c r="C1953">
        <v>27037</v>
      </c>
      <c r="D1953" t="s">
        <v>273</v>
      </c>
      <c r="E1953" t="s">
        <v>261</v>
      </c>
      <c r="F1953" t="s">
        <v>268</v>
      </c>
      <c r="G1953" t="s">
        <v>263</v>
      </c>
      <c r="H1953">
        <v>7935.7568551406102</v>
      </c>
      <c r="I1953" t="s">
        <v>284</v>
      </c>
      <c r="J1953" t="s">
        <v>285</v>
      </c>
      <c r="K1953">
        <v>439179</v>
      </c>
      <c r="L1953" t="s">
        <v>286</v>
      </c>
      <c r="M1953">
        <v>0.02</v>
      </c>
    </row>
    <row r="1954" spans="1:13" x14ac:dyDescent="0.25">
      <c r="A1954">
        <v>2022</v>
      </c>
      <c r="B1954" t="s">
        <v>259</v>
      </c>
      <c r="C1954">
        <v>27037</v>
      </c>
      <c r="D1954" t="s">
        <v>273</v>
      </c>
      <c r="E1954" t="s">
        <v>261</v>
      </c>
      <c r="F1954" t="s">
        <v>268</v>
      </c>
      <c r="G1954" t="s">
        <v>267</v>
      </c>
      <c r="H1954">
        <v>46276.949199428404</v>
      </c>
      <c r="I1954" t="s">
        <v>284</v>
      </c>
      <c r="J1954" t="s">
        <v>285</v>
      </c>
      <c r="K1954">
        <v>439179</v>
      </c>
      <c r="L1954" t="s">
        <v>286</v>
      </c>
      <c r="M1954">
        <v>0.11</v>
      </c>
    </row>
    <row r="1955" spans="1:13" x14ac:dyDescent="0.25">
      <c r="A1955">
        <v>2022</v>
      </c>
      <c r="B1955" t="s">
        <v>259</v>
      </c>
      <c r="C1955">
        <v>27037</v>
      </c>
      <c r="D1955" t="s">
        <v>273</v>
      </c>
      <c r="E1955" t="s">
        <v>261</v>
      </c>
      <c r="F1955" t="s">
        <v>270</v>
      </c>
      <c r="G1955" t="s">
        <v>263</v>
      </c>
      <c r="H1955">
        <v>149764.57907846701</v>
      </c>
      <c r="I1955" t="s">
        <v>284</v>
      </c>
      <c r="J1955" t="s">
        <v>285</v>
      </c>
      <c r="K1955">
        <v>439179</v>
      </c>
      <c r="L1955" t="s">
        <v>286</v>
      </c>
      <c r="M1955">
        <v>0.34</v>
      </c>
    </row>
    <row r="1956" spans="1:13" x14ac:dyDescent="0.25">
      <c r="A1956">
        <v>2022</v>
      </c>
      <c r="B1956" t="s">
        <v>259</v>
      </c>
      <c r="C1956">
        <v>27037</v>
      </c>
      <c r="D1956" t="s">
        <v>273</v>
      </c>
      <c r="E1956" t="s">
        <v>261</v>
      </c>
      <c r="F1956" t="s">
        <v>270</v>
      </c>
      <c r="G1956" t="s">
        <v>267</v>
      </c>
      <c r="H1956">
        <v>475903.32468476798</v>
      </c>
      <c r="I1956" t="s">
        <v>284</v>
      </c>
      <c r="J1956" t="s">
        <v>285</v>
      </c>
      <c r="K1956">
        <v>439179</v>
      </c>
      <c r="L1956" t="s">
        <v>286</v>
      </c>
      <c r="M1956">
        <v>1.08</v>
      </c>
    </row>
    <row r="1957" spans="1:13" x14ac:dyDescent="0.25">
      <c r="A1957">
        <v>2022</v>
      </c>
      <c r="B1957" t="s">
        <v>259</v>
      </c>
      <c r="C1957">
        <v>27037</v>
      </c>
      <c r="D1957" t="s">
        <v>273</v>
      </c>
      <c r="E1957" t="s">
        <v>261</v>
      </c>
      <c r="F1957" t="s">
        <v>270</v>
      </c>
      <c r="G1957" t="s">
        <v>269</v>
      </c>
      <c r="H1957">
        <v>786.61987936285198</v>
      </c>
      <c r="I1957" t="s">
        <v>284</v>
      </c>
      <c r="J1957" t="s">
        <v>285</v>
      </c>
      <c r="K1957">
        <v>439179</v>
      </c>
      <c r="L1957" t="s">
        <v>286</v>
      </c>
      <c r="M1957">
        <v>0</v>
      </c>
    </row>
    <row r="1958" spans="1:13" x14ac:dyDescent="0.25">
      <c r="A1958">
        <v>2022</v>
      </c>
      <c r="B1958" t="s">
        <v>259</v>
      </c>
      <c r="C1958">
        <v>27053</v>
      </c>
      <c r="D1958" t="s">
        <v>274</v>
      </c>
      <c r="E1958" t="s">
        <v>261</v>
      </c>
      <c r="F1958" t="s">
        <v>262</v>
      </c>
      <c r="G1958" t="s">
        <v>263</v>
      </c>
      <c r="H1958">
        <v>3376215.8442613198</v>
      </c>
      <c r="I1958" t="s">
        <v>284</v>
      </c>
      <c r="J1958" t="s">
        <v>285</v>
      </c>
      <c r="K1958">
        <v>1270787</v>
      </c>
      <c r="L1958" t="s">
        <v>286</v>
      </c>
      <c r="M1958">
        <v>2.66</v>
      </c>
    </row>
    <row r="1959" spans="1:13" x14ac:dyDescent="0.25">
      <c r="A1959">
        <v>2022</v>
      </c>
      <c r="B1959" t="s">
        <v>259</v>
      </c>
      <c r="C1959">
        <v>27053</v>
      </c>
      <c r="D1959" t="s">
        <v>274</v>
      </c>
      <c r="E1959" t="s">
        <v>261</v>
      </c>
      <c r="F1959" t="s">
        <v>262</v>
      </c>
      <c r="G1959" t="s">
        <v>267</v>
      </c>
      <c r="H1959">
        <v>48611.652595255298</v>
      </c>
      <c r="I1959" t="s">
        <v>284</v>
      </c>
      <c r="J1959" t="s">
        <v>285</v>
      </c>
      <c r="K1959">
        <v>1270787</v>
      </c>
      <c r="L1959" t="s">
        <v>286</v>
      </c>
      <c r="M1959">
        <v>0.04</v>
      </c>
    </row>
    <row r="1960" spans="1:13" x14ac:dyDescent="0.25">
      <c r="A1960">
        <v>2022</v>
      </c>
      <c r="B1960" t="s">
        <v>259</v>
      </c>
      <c r="C1960">
        <v>27053</v>
      </c>
      <c r="D1960" t="s">
        <v>274</v>
      </c>
      <c r="E1960" t="s">
        <v>261</v>
      </c>
      <c r="F1960" t="s">
        <v>262</v>
      </c>
      <c r="G1960" t="s">
        <v>269</v>
      </c>
      <c r="H1960">
        <v>5667.9126255560604</v>
      </c>
      <c r="I1960" t="s">
        <v>284</v>
      </c>
      <c r="J1960" t="s">
        <v>285</v>
      </c>
      <c r="K1960">
        <v>1270787</v>
      </c>
      <c r="L1960" t="s">
        <v>286</v>
      </c>
      <c r="M1960">
        <v>0</v>
      </c>
    </row>
    <row r="1961" spans="1:13" x14ac:dyDescent="0.25">
      <c r="A1961">
        <v>2022</v>
      </c>
      <c r="B1961" t="s">
        <v>259</v>
      </c>
      <c r="C1961">
        <v>27053</v>
      </c>
      <c r="D1961" t="s">
        <v>274</v>
      </c>
      <c r="E1961" t="s">
        <v>261</v>
      </c>
      <c r="F1961" t="s">
        <v>268</v>
      </c>
      <c r="G1961" t="s">
        <v>263</v>
      </c>
      <c r="H1961">
        <v>25747.390218922399</v>
      </c>
      <c r="I1961" t="s">
        <v>284</v>
      </c>
      <c r="J1961" t="s">
        <v>285</v>
      </c>
      <c r="K1961">
        <v>1270787</v>
      </c>
      <c r="L1961" t="s">
        <v>286</v>
      </c>
      <c r="M1961">
        <v>0.02</v>
      </c>
    </row>
    <row r="1962" spans="1:13" x14ac:dyDescent="0.25">
      <c r="A1962">
        <v>2022</v>
      </c>
      <c r="B1962" t="s">
        <v>259</v>
      </c>
      <c r="C1962">
        <v>27053</v>
      </c>
      <c r="D1962" t="s">
        <v>274</v>
      </c>
      <c r="E1962" t="s">
        <v>261</v>
      </c>
      <c r="F1962" t="s">
        <v>268</v>
      </c>
      <c r="G1962" t="s">
        <v>267</v>
      </c>
      <c r="H1962">
        <v>150180.14969260001</v>
      </c>
      <c r="I1962" t="s">
        <v>284</v>
      </c>
      <c r="J1962" t="s">
        <v>285</v>
      </c>
      <c r="K1962">
        <v>1270787</v>
      </c>
      <c r="L1962" t="s">
        <v>286</v>
      </c>
      <c r="M1962">
        <v>0.12</v>
      </c>
    </row>
    <row r="1963" spans="1:13" x14ac:dyDescent="0.25">
      <c r="A1963">
        <v>2022</v>
      </c>
      <c r="B1963" t="s">
        <v>259</v>
      </c>
      <c r="C1963">
        <v>27053</v>
      </c>
      <c r="D1963" t="s">
        <v>274</v>
      </c>
      <c r="E1963" t="s">
        <v>261</v>
      </c>
      <c r="F1963" t="s">
        <v>270</v>
      </c>
      <c r="G1963" t="s">
        <v>263</v>
      </c>
      <c r="H1963">
        <v>435477.72922503197</v>
      </c>
      <c r="I1963" t="s">
        <v>284</v>
      </c>
      <c r="J1963" t="s">
        <v>285</v>
      </c>
      <c r="K1963">
        <v>1270787</v>
      </c>
      <c r="L1963" t="s">
        <v>286</v>
      </c>
      <c r="M1963">
        <v>0.34</v>
      </c>
    </row>
    <row r="1964" spans="1:13" x14ac:dyDescent="0.25">
      <c r="A1964">
        <v>2022</v>
      </c>
      <c r="B1964" t="s">
        <v>259</v>
      </c>
      <c r="C1964">
        <v>27053</v>
      </c>
      <c r="D1964" t="s">
        <v>274</v>
      </c>
      <c r="E1964" t="s">
        <v>261</v>
      </c>
      <c r="F1964" t="s">
        <v>270</v>
      </c>
      <c r="G1964" t="s">
        <v>267</v>
      </c>
      <c r="H1964">
        <v>1320923.7322525701</v>
      </c>
      <c r="I1964" t="s">
        <v>284</v>
      </c>
      <c r="J1964" t="s">
        <v>285</v>
      </c>
      <c r="K1964">
        <v>1270787</v>
      </c>
      <c r="L1964" t="s">
        <v>286</v>
      </c>
      <c r="M1964">
        <v>1.04</v>
      </c>
    </row>
    <row r="1965" spans="1:13" x14ac:dyDescent="0.25">
      <c r="A1965">
        <v>2022</v>
      </c>
      <c r="B1965" t="s">
        <v>259</v>
      </c>
      <c r="C1965">
        <v>27053</v>
      </c>
      <c r="D1965" t="s">
        <v>274</v>
      </c>
      <c r="E1965" t="s">
        <v>261</v>
      </c>
      <c r="F1965" t="s">
        <v>270</v>
      </c>
      <c r="G1965" t="s">
        <v>269</v>
      </c>
      <c r="H1965">
        <v>1991.39481148816</v>
      </c>
      <c r="I1965" t="s">
        <v>284</v>
      </c>
      <c r="J1965" t="s">
        <v>285</v>
      </c>
      <c r="K1965">
        <v>1270787</v>
      </c>
      <c r="L1965" t="s">
        <v>286</v>
      </c>
      <c r="M1965">
        <v>0</v>
      </c>
    </row>
    <row r="1966" spans="1:13" x14ac:dyDescent="0.25">
      <c r="A1966">
        <v>2022</v>
      </c>
      <c r="B1966" t="s">
        <v>259</v>
      </c>
      <c r="C1966">
        <v>27123</v>
      </c>
      <c r="D1966" t="s">
        <v>275</v>
      </c>
      <c r="E1966" t="s">
        <v>261</v>
      </c>
      <c r="F1966" t="s">
        <v>262</v>
      </c>
      <c r="G1966" t="s">
        <v>263</v>
      </c>
      <c r="H1966">
        <v>1420905.92188591</v>
      </c>
      <c r="I1966" t="s">
        <v>284</v>
      </c>
      <c r="J1966" t="s">
        <v>285</v>
      </c>
      <c r="K1966">
        <v>547202</v>
      </c>
      <c r="L1966" t="s">
        <v>286</v>
      </c>
      <c r="M1966">
        <v>2.6</v>
      </c>
    </row>
    <row r="1967" spans="1:13" x14ac:dyDescent="0.25">
      <c r="A1967">
        <v>2022</v>
      </c>
      <c r="B1967" t="s">
        <v>259</v>
      </c>
      <c r="C1967">
        <v>27123</v>
      </c>
      <c r="D1967" t="s">
        <v>275</v>
      </c>
      <c r="E1967" t="s">
        <v>261</v>
      </c>
      <c r="F1967" t="s">
        <v>262</v>
      </c>
      <c r="G1967" t="s">
        <v>267</v>
      </c>
      <c r="H1967">
        <v>35172.553983428603</v>
      </c>
      <c r="I1967" t="s">
        <v>284</v>
      </c>
      <c r="J1967" t="s">
        <v>285</v>
      </c>
      <c r="K1967">
        <v>547202</v>
      </c>
      <c r="L1967" t="s">
        <v>286</v>
      </c>
      <c r="M1967">
        <v>0.06</v>
      </c>
    </row>
    <row r="1968" spans="1:13" x14ac:dyDescent="0.25">
      <c r="A1968">
        <v>2022</v>
      </c>
      <c r="B1968" t="s">
        <v>259</v>
      </c>
      <c r="C1968">
        <v>27123</v>
      </c>
      <c r="D1968" t="s">
        <v>275</v>
      </c>
      <c r="E1968" t="s">
        <v>261</v>
      </c>
      <c r="F1968" t="s">
        <v>262</v>
      </c>
      <c r="G1968" t="s">
        <v>269</v>
      </c>
      <c r="H1968">
        <v>2873.7355814359698</v>
      </c>
      <c r="I1968" t="s">
        <v>284</v>
      </c>
      <c r="J1968" t="s">
        <v>285</v>
      </c>
      <c r="K1968">
        <v>547202</v>
      </c>
      <c r="L1968" t="s">
        <v>286</v>
      </c>
      <c r="M1968">
        <v>0.01</v>
      </c>
    </row>
    <row r="1969" spans="1:13" x14ac:dyDescent="0.25">
      <c r="A1969">
        <v>2022</v>
      </c>
      <c r="B1969" t="s">
        <v>259</v>
      </c>
      <c r="C1969">
        <v>27123</v>
      </c>
      <c r="D1969" t="s">
        <v>275</v>
      </c>
      <c r="E1969" t="s">
        <v>261</v>
      </c>
      <c r="F1969" t="s">
        <v>268</v>
      </c>
      <c r="G1969" t="s">
        <v>263</v>
      </c>
      <c r="H1969">
        <v>6697.7233248456496</v>
      </c>
      <c r="I1969" t="s">
        <v>284</v>
      </c>
      <c r="J1969" t="s">
        <v>285</v>
      </c>
      <c r="K1969">
        <v>547202</v>
      </c>
      <c r="L1969" t="s">
        <v>286</v>
      </c>
      <c r="M1969">
        <v>0.01</v>
      </c>
    </row>
    <row r="1970" spans="1:13" x14ac:dyDescent="0.25">
      <c r="A1970">
        <v>2022</v>
      </c>
      <c r="B1970" t="s">
        <v>259</v>
      </c>
      <c r="C1970">
        <v>27123</v>
      </c>
      <c r="D1970" t="s">
        <v>275</v>
      </c>
      <c r="E1970" t="s">
        <v>261</v>
      </c>
      <c r="F1970" t="s">
        <v>268</v>
      </c>
      <c r="G1970" t="s">
        <v>267</v>
      </c>
      <c r="H1970">
        <v>54685.8602979883</v>
      </c>
      <c r="I1970" t="s">
        <v>284</v>
      </c>
      <c r="J1970" t="s">
        <v>285</v>
      </c>
      <c r="K1970">
        <v>547202</v>
      </c>
      <c r="L1970" t="s">
        <v>286</v>
      </c>
      <c r="M1970">
        <v>0.1</v>
      </c>
    </row>
    <row r="1971" spans="1:13" x14ac:dyDescent="0.25">
      <c r="A1971">
        <v>2022</v>
      </c>
      <c r="B1971" t="s">
        <v>259</v>
      </c>
      <c r="C1971">
        <v>27123</v>
      </c>
      <c r="D1971" t="s">
        <v>275</v>
      </c>
      <c r="E1971" t="s">
        <v>261</v>
      </c>
      <c r="F1971" t="s">
        <v>270</v>
      </c>
      <c r="G1971" t="s">
        <v>263</v>
      </c>
      <c r="H1971">
        <v>189983.28081350899</v>
      </c>
      <c r="I1971" t="s">
        <v>284</v>
      </c>
      <c r="J1971" t="s">
        <v>285</v>
      </c>
      <c r="K1971">
        <v>547202</v>
      </c>
      <c r="L1971" t="s">
        <v>286</v>
      </c>
      <c r="M1971">
        <v>0.35</v>
      </c>
    </row>
    <row r="1972" spans="1:13" x14ac:dyDescent="0.25">
      <c r="A1972">
        <v>2022</v>
      </c>
      <c r="B1972" t="s">
        <v>259</v>
      </c>
      <c r="C1972">
        <v>27123</v>
      </c>
      <c r="D1972" t="s">
        <v>275</v>
      </c>
      <c r="E1972" t="s">
        <v>261</v>
      </c>
      <c r="F1972" t="s">
        <v>270</v>
      </c>
      <c r="G1972" t="s">
        <v>267</v>
      </c>
      <c r="H1972">
        <v>523869.10589893803</v>
      </c>
      <c r="I1972" t="s">
        <v>284</v>
      </c>
      <c r="J1972" t="s">
        <v>285</v>
      </c>
      <c r="K1972">
        <v>547202</v>
      </c>
      <c r="L1972" t="s">
        <v>286</v>
      </c>
      <c r="M1972">
        <v>0.96</v>
      </c>
    </row>
    <row r="1973" spans="1:13" x14ac:dyDescent="0.25">
      <c r="A1973">
        <v>2022</v>
      </c>
      <c r="B1973" t="s">
        <v>259</v>
      </c>
      <c r="C1973">
        <v>27123</v>
      </c>
      <c r="D1973" t="s">
        <v>275</v>
      </c>
      <c r="E1973" t="s">
        <v>261</v>
      </c>
      <c r="F1973" t="s">
        <v>270</v>
      </c>
      <c r="G1973" t="s">
        <v>269</v>
      </c>
      <c r="H1973">
        <v>594.87662542750195</v>
      </c>
      <c r="I1973" t="s">
        <v>284</v>
      </c>
      <c r="J1973" t="s">
        <v>285</v>
      </c>
      <c r="K1973">
        <v>547202</v>
      </c>
      <c r="L1973" t="s">
        <v>286</v>
      </c>
      <c r="M1973">
        <v>0</v>
      </c>
    </row>
    <row r="1974" spans="1:13" x14ac:dyDescent="0.25">
      <c r="A1974">
        <v>2022</v>
      </c>
      <c r="B1974" t="s">
        <v>259</v>
      </c>
      <c r="C1974">
        <v>27139</v>
      </c>
      <c r="D1974" t="s">
        <v>276</v>
      </c>
      <c r="E1974" t="s">
        <v>261</v>
      </c>
      <c r="F1974" t="s">
        <v>262</v>
      </c>
      <c r="G1974" t="s">
        <v>263</v>
      </c>
      <c r="H1974">
        <v>425330.97985601297</v>
      </c>
      <c r="I1974" t="s">
        <v>284</v>
      </c>
      <c r="J1974" t="s">
        <v>285</v>
      </c>
      <c r="K1974">
        <v>151347</v>
      </c>
      <c r="L1974" t="s">
        <v>286</v>
      </c>
      <c r="M1974">
        <v>2.81</v>
      </c>
    </row>
    <row r="1975" spans="1:13" x14ac:dyDescent="0.25">
      <c r="A1975">
        <v>2022</v>
      </c>
      <c r="B1975" t="s">
        <v>259</v>
      </c>
      <c r="C1975">
        <v>27139</v>
      </c>
      <c r="D1975" t="s">
        <v>276</v>
      </c>
      <c r="E1975" t="s">
        <v>261</v>
      </c>
      <c r="F1975" t="s">
        <v>262</v>
      </c>
      <c r="G1975" t="s">
        <v>267</v>
      </c>
      <c r="H1975">
        <v>6447.6013235529399</v>
      </c>
      <c r="I1975" t="s">
        <v>284</v>
      </c>
      <c r="J1975" t="s">
        <v>285</v>
      </c>
      <c r="K1975">
        <v>151347</v>
      </c>
      <c r="L1975" t="s">
        <v>286</v>
      </c>
      <c r="M1975">
        <v>0.04</v>
      </c>
    </row>
    <row r="1976" spans="1:13" x14ac:dyDescent="0.25">
      <c r="A1976">
        <v>2022</v>
      </c>
      <c r="B1976" t="s">
        <v>259</v>
      </c>
      <c r="C1976">
        <v>27139</v>
      </c>
      <c r="D1976" t="s">
        <v>276</v>
      </c>
      <c r="E1976" t="s">
        <v>261</v>
      </c>
      <c r="F1976" t="s">
        <v>262</v>
      </c>
      <c r="G1976" t="s">
        <v>269</v>
      </c>
      <c r="H1976">
        <v>757.26283604837101</v>
      </c>
      <c r="I1976" t="s">
        <v>284</v>
      </c>
      <c r="J1976" t="s">
        <v>285</v>
      </c>
      <c r="K1976">
        <v>151347</v>
      </c>
      <c r="L1976" t="s">
        <v>286</v>
      </c>
      <c r="M1976">
        <v>0.01</v>
      </c>
    </row>
    <row r="1977" spans="1:13" x14ac:dyDescent="0.25">
      <c r="A1977">
        <v>2022</v>
      </c>
      <c r="B1977" t="s">
        <v>259</v>
      </c>
      <c r="C1977">
        <v>27139</v>
      </c>
      <c r="D1977" t="s">
        <v>276</v>
      </c>
      <c r="E1977" t="s">
        <v>261</v>
      </c>
      <c r="F1977" t="s">
        <v>268</v>
      </c>
      <c r="G1977" t="s">
        <v>263</v>
      </c>
      <c r="H1977">
        <v>4970.4456915684204</v>
      </c>
      <c r="I1977" t="s">
        <v>284</v>
      </c>
      <c r="J1977" t="s">
        <v>285</v>
      </c>
      <c r="K1977">
        <v>151347</v>
      </c>
      <c r="L1977" t="s">
        <v>286</v>
      </c>
      <c r="M1977">
        <v>0.03</v>
      </c>
    </row>
    <row r="1978" spans="1:13" x14ac:dyDescent="0.25">
      <c r="A1978">
        <v>2022</v>
      </c>
      <c r="B1978" t="s">
        <v>259</v>
      </c>
      <c r="C1978">
        <v>27139</v>
      </c>
      <c r="D1978" t="s">
        <v>276</v>
      </c>
      <c r="E1978" t="s">
        <v>261</v>
      </c>
      <c r="F1978" t="s">
        <v>268</v>
      </c>
      <c r="G1978" t="s">
        <v>267</v>
      </c>
      <c r="H1978">
        <v>17327.596969071001</v>
      </c>
      <c r="I1978" t="s">
        <v>284</v>
      </c>
      <c r="J1978" t="s">
        <v>285</v>
      </c>
      <c r="K1978">
        <v>151347</v>
      </c>
      <c r="L1978" t="s">
        <v>286</v>
      </c>
      <c r="M1978">
        <v>0.11</v>
      </c>
    </row>
    <row r="1979" spans="1:13" x14ac:dyDescent="0.25">
      <c r="A1979">
        <v>2022</v>
      </c>
      <c r="B1979" t="s">
        <v>259</v>
      </c>
      <c r="C1979">
        <v>27139</v>
      </c>
      <c r="D1979" t="s">
        <v>276</v>
      </c>
      <c r="E1979" t="s">
        <v>261</v>
      </c>
      <c r="F1979" t="s">
        <v>270</v>
      </c>
      <c r="G1979" t="s">
        <v>263</v>
      </c>
      <c r="H1979">
        <v>46084.084797451898</v>
      </c>
      <c r="I1979" t="s">
        <v>284</v>
      </c>
      <c r="J1979" t="s">
        <v>285</v>
      </c>
      <c r="K1979">
        <v>151347</v>
      </c>
      <c r="L1979" t="s">
        <v>286</v>
      </c>
      <c r="M1979">
        <v>0.3</v>
      </c>
    </row>
    <row r="1980" spans="1:13" x14ac:dyDescent="0.25">
      <c r="A1980">
        <v>2022</v>
      </c>
      <c r="B1980" t="s">
        <v>259</v>
      </c>
      <c r="C1980">
        <v>27139</v>
      </c>
      <c r="D1980" t="s">
        <v>276</v>
      </c>
      <c r="E1980" t="s">
        <v>261</v>
      </c>
      <c r="F1980" t="s">
        <v>270</v>
      </c>
      <c r="G1980" t="s">
        <v>267</v>
      </c>
      <c r="H1980">
        <v>229422.79843318899</v>
      </c>
      <c r="I1980" t="s">
        <v>284</v>
      </c>
      <c r="J1980" t="s">
        <v>285</v>
      </c>
      <c r="K1980">
        <v>151347</v>
      </c>
      <c r="L1980" t="s">
        <v>286</v>
      </c>
      <c r="M1980">
        <v>1.52</v>
      </c>
    </row>
    <row r="1981" spans="1:13" x14ac:dyDescent="0.25">
      <c r="A1981">
        <v>2022</v>
      </c>
      <c r="B1981" t="s">
        <v>259</v>
      </c>
      <c r="C1981">
        <v>27139</v>
      </c>
      <c r="D1981" t="s">
        <v>276</v>
      </c>
      <c r="E1981" t="s">
        <v>261</v>
      </c>
      <c r="F1981" t="s">
        <v>270</v>
      </c>
      <c r="G1981" t="s">
        <v>269</v>
      </c>
      <c r="H1981">
        <v>215.822529229292</v>
      </c>
      <c r="I1981" t="s">
        <v>284</v>
      </c>
      <c r="J1981" t="s">
        <v>285</v>
      </c>
      <c r="K1981">
        <v>151347</v>
      </c>
      <c r="L1981" t="s">
        <v>286</v>
      </c>
      <c r="M1981">
        <v>0</v>
      </c>
    </row>
    <row r="1982" spans="1:13" x14ac:dyDescent="0.25">
      <c r="A1982">
        <v>2022</v>
      </c>
      <c r="B1982" t="s">
        <v>259</v>
      </c>
      <c r="C1982">
        <v>27141</v>
      </c>
      <c r="D1982" t="s">
        <v>277</v>
      </c>
      <c r="E1982" t="s">
        <v>261</v>
      </c>
      <c r="F1982" t="s">
        <v>262</v>
      </c>
      <c r="G1982" t="s">
        <v>263</v>
      </c>
      <c r="H1982">
        <v>277795.90907269198</v>
      </c>
      <c r="I1982" t="s">
        <v>284</v>
      </c>
      <c r="J1982" t="s">
        <v>285</v>
      </c>
      <c r="K1982">
        <v>97820</v>
      </c>
      <c r="L1982" t="s">
        <v>286</v>
      </c>
      <c r="M1982">
        <v>2.84</v>
      </c>
    </row>
    <row r="1983" spans="1:13" x14ac:dyDescent="0.25">
      <c r="A1983">
        <v>2022</v>
      </c>
      <c r="B1983" t="s">
        <v>259</v>
      </c>
      <c r="C1983">
        <v>27141</v>
      </c>
      <c r="D1983" t="s">
        <v>277</v>
      </c>
      <c r="E1983" t="s">
        <v>261</v>
      </c>
      <c r="F1983" t="s">
        <v>262</v>
      </c>
      <c r="G1983" t="s">
        <v>267</v>
      </c>
      <c r="H1983">
        <v>7725.1948862777599</v>
      </c>
      <c r="I1983" t="s">
        <v>284</v>
      </c>
      <c r="J1983" t="s">
        <v>285</v>
      </c>
      <c r="K1983">
        <v>97820</v>
      </c>
      <c r="L1983" t="s">
        <v>286</v>
      </c>
      <c r="M1983">
        <v>0.08</v>
      </c>
    </row>
    <row r="1984" spans="1:13" x14ac:dyDescent="0.25">
      <c r="A1984">
        <v>2022</v>
      </c>
      <c r="B1984" t="s">
        <v>259</v>
      </c>
      <c r="C1984">
        <v>27141</v>
      </c>
      <c r="D1984" t="s">
        <v>277</v>
      </c>
      <c r="E1984" t="s">
        <v>261</v>
      </c>
      <c r="F1984" t="s">
        <v>262</v>
      </c>
      <c r="G1984" t="s">
        <v>269</v>
      </c>
      <c r="H1984">
        <v>590.92289193084798</v>
      </c>
      <c r="I1984" t="s">
        <v>284</v>
      </c>
      <c r="J1984" t="s">
        <v>285</v>
      </c>
      <c r="K1984">
        <v>97820</v>
      </c>
      <c r="L1984" t="s">
        <v>286</v>
      </c>
      <c r="M1984">
        <v>0.01</v>
      </c>
    </row>
    <row r="1985" spans="1:13" x14ac:dyDescent="0.25">
      <c r="A1985">
        <v>2022</v>
      </c>
      <c r="B1985" t="s">
        <v>259</v>
      </c>
      <c r="C1985">
        <v>27141</v>
      </c>
      <c r="D1985" t="s">
        <v>277</v>
      </c>
      <c r="E1985" t="s">
        <v>261</v>
      </c>
      <c r="F1985" t="s">
        <v>268</v>
      </c>
      <c r="G1985" t="s">
        <v>263</v>
      </c>
      <c r="H1985">
        <v>999.82984980679805</v>
      </c>
      <c r="I1985" t="s">
        <v>284</v>
      </c>
      <c r="J1985" t="s">
        <v>285</v>
      </c>
      <c r="K1985">
        <v>97820</v>
      </c>
      <c r="L1985" t="s">
        <v>286</v>
      </c>
      <c r="M1985">
        <v>0.01</v>
      </c>
    </row>
    <row r="1986" spans="1:13" x14ac:dyDescent="0.25">
      <c r="A1986">
        <v>2022</v>
      </c>
      <c r="B1986" t="s">
        <v>259</v>
      </c>
      <c r="C1986">
        <v>27141</v>
      </c>
      <c r="D1986" t="s">
        <v>277</v>
      </c>
      <c r="E1986" t="s">
        <v>261</v>
      </c>
      <c r="F1986" t="s">
        <v>268</v>
      </c>
      <c r="G1986" t="s">
        <v>267</v>
      </c>
      <c r="H1986">
        <v>9207.4979335847693</v>
      </c>
      <c r="I1986" t="s">
        <v>284</v>
      </c>
      <c r="J1986" t="s">
        <v>285</v>
      </c>
      <c r="K1986">
        <v>97820</v>
      </c>
      <c r="L1986" t="s">
        <v>286</v>
      </c>
      <c r="M1986">
        <v>0.09</v>
      </c>
    </row>
    <row r="1987" spans="1:13" x14ac:dyDescent="0.25">
      <c r="A1987">
        <v>2022</v>
      </c>
      <c r="B1987" t="s">
        <v>259</v>
      </c>
      <c r="C1987">
        <v>27141</v>
      </c>
      <c r="D1987" t="s">
        <v>277</v>
      </c>
      <c r="E1987" t="s">
        <v>261</v>
      </c>
      <c r="F1987" t="s">
        <v>270</v>
      </c>
      <c r="G1987" t="s">
        <v>263</v>
      </c>
      <c r="H1987">
        <v>24958.640876506299</v>
      </c>
      <c r="I1987" t="s">
        <v>284</v>
      </c>
      <c r="J1987" t="s">
        <v>285</v>
      </c>
      <c r="K1987">
        <v>97820</v>
      </c>
      <c r="L1987" t="s">
        <v>286</v>
      </c>
      <c r="M1987">
        <v>0.26</v>
      </c>
    </row>
    <row r="1988" spans="1:13" x14ac:dyDescent="0.25">
      <c r="A1988">
        <v>2022</v>
      </c>
      <c r="B1988" t="s">
        <v>259</v>
      </c>
      <c r="C1988">
        <v>27141</v>
      </c>
      <c r="D1988" t="s">
        <v>277</v>
      </c>
      <c r="E1988" t="s">
        <v>261</v>
      </c>
      <c r="F1988" t="s">
        <v>270</v>
      </c>
      <c r="G1988" t="s">
        <v>267</v>
      </c>
      <c r="H1988">
        <v>120854.14599980001</v>
      </c>
      <c r="I1988" t="s">
        <v>284</v>
      </c>
      <c r="J1988" t="s">
        <v>285</v>
      </c>
      <c r="K1988">
        <v>97820</v>
      </c>
      <c r="L1988" t="s">
        <v>286</v>
      </c>
      <c r="M1988">
        <v>1.24</v>
      </c>
    </row>
    <row r="1989" spans="1:13" x14ac:dyDescent="0.25">
      <c r="A1989">
        <v>2022</v>
      </c>
      <c r="B1989" t="s">
        <v>259</v>
      </c>
      <c r="C1989">
        <v>27141</v>
      </c>
      <c r="D1989" t="s">
        <v>277</v>
      </c>
      <c r="E1989" t="s">
        <v>261</v>
      </c>
      <c r="F1989" t="s">
        <v>270</v>
      </c>
      <c r="G1989" t="s">
        <v>269</v>
      </c>
      <c r="H1989">
        <v>83.563238890948497</v>
      </c>
      <c r="I1989" t="s">
        <v>284</v>
      </c>
      <c r="J1989" t="s">
        <v>285</v>
      </c>
      <c r="K1989">
        <v>97820</v>
      </c>
      <c r="L1989" t="s">
        <v>286</v>
      </c>
      <c r="M1989">
        <v>0</v>
      </c>
    </row>
    <row r="1990" spans="1:13" x14ac:dyDescent="0.25">
      <c r="A1990">
        <v>2022</v>
      </c>
      <c r="B1990" t="s">
        <v>259</v>
      </c>
      <c r="C1990">
        <v>27163</v>
      </c>
      <c r="D1990" t="s">
        <v>278</v>
      </c>
      <c r="E1990" t="s">
        <v>261</v>
      </c>
      <c r="F1990" t="s">
        <v>262</v>
      </c>
      <c r="G1990" t="s">
        <v>263</v>
      </c>
      <c r="H1990">
        <v>725620.58753895701</v>
      </c>
      <c r="I1990" t="s">
        <v>284</v>
      </c>
      <c r="J1990" t="s">
        <v>285</v>
      </c>
      <c r="K1990">
        <v>268651</v>
      </c>
      <c r="L1990" t="s">
        <v>286</v>
      </c>
      <c r="M1990">
        <v>2.7</v>
      </c>
    </row>
    <row r="1991" spans="1:13" x14ac:dyDescent="0.25">
      <c r="A1991">
        <v>2022</v>
      </c>
      <c r="B1991" t="s">
        <v>259</v>
      </c>
      <c r="C1991">
        <v>27163</v>
      </c>
      <c r="D1991" t="s">
        <v>278</v>
      </c>
      <c r="E1991" t="s">
        <v>261</v>
      </c>
      <c r="F1991" t="s">
        <v>262</v>
      </c>
      <c r="G1991" t="s">
        <v>267</v>
      </c>
      <c r="H1991">
        <v>10783.854920071801</v>
      </c>
      <c r="I1991" t="s">
        <v>284</v>
      </c>
      <c r="J1991" t="s">
        <v>285</v>
      </c>
      <c r="K1991">
        <v>268651</v>
      </c>
      <c r="L1991" t="s">
        <v>286</v>
      </c>
      <c r="M1991">
        <v>0.04</v>
      </c>
    </row>
    <row r="1992" spans="1:13" x14ac:dyDescent="0.25">
      <c r="A1992">
        <v>2022</v>
      </c>
      <c r="B1992" t="s">
        <v>259</v>
      </c>
      <c r="C1992">
        <v>27163</v>
      </c>
      <c r="D1992" t="s">
        <v>278</v>
      </c>
      <c r="E1992" t="s">
        <v>261</v>
      </c>
      <c r="F1992" t="s">
        <v>262</v>
      </c>
      <c r="G1992" t="s">
        <v>269</v>
      </c>
      <c r="H1992">
        <v>1291.2307813443999</v>
      </c>
      <c r="I1992" t="s">
        <v>284</v>
      </c>
      <c r="J1992" t="s">
        <v>285</v>
      </c>
      <c r="K1992">
        <v>268651</v>
      </c>
      <c r="L1992" t="s">
        <v>286</v>
      </c>
      <c r="M1992">
        <v>0</v>
      </c>
    </row>
    <row r="1993" spans="1:13" x14ac:dyDescent="0.25">
      <c r="A1993">
        <v>2022</v>
      </c>
      <c r="B1993" t="s">
        <v>259</v>
      </c>
      <c r="C1993">
        <v>27163</v>
      </c>
      <c r="D1993" t="s">
        <v>278</v>
      </c>
      <c r="E1993" t="s">
        <v>261</v>
      </c>
      <c r="F1993" t="s">
        <v>268</v>
      </c>
      <c r="G1993" t="s">
        <v>263</v>
      </c>
      <c r="H1993">
        <v>5880.11694016823</v>
      </c>
      <c r="I1993" t="s">
        <v>284</v>
      </c>
      <c r="J1993" t="s">
        <v>285</v>
      </c>
      <c r="K1993">
        <v>268651</v>
      </c>
      <c r="L1993" t="s">
        <v>286</v>
      </c>
      <c r="M1993">
        <v>0.02</v>
      </c>
    </row>
    <row r="1994" spans="1:13" x14ac:dyDescent="0.25">
      <c r="A1994">
        <v>2022</v>
      </c>
      <c r="B1994" t="s">
        <v>259</v>
      </c>
      <c r="C1994">
        <v>27163</v>
      </c>
      <c r="D1994" t="s">
        <v>278</v>
      </c>
      <c r="E1994" t="s">
        <v>261</v>
      </c>
      <c r="F1994" t="s">
        <v>268</v>
      </c>
      <c r="G1994" t="s">
        <v>267</v>
      </c>
      <c r="H1994">
        <v>25628.472356704799</v>
      </c>
      <c r="I1994" t="s">
        <v>284</v>
      </c>
      <c r="J1994" t="s">
        <v>285</v>
      </c>
      <c r="K1994">
        <v>268651</v>
      </c>
      <c r="L1994" t="s">
        <v>286</v>
      </c>
      <c r="M1994">
        <v>0.1</v>
      </c>
    </row>
    <row r="1995" spans="1:13" x14ac:dyDescent="0.25">
      <c r="A1995">
        <v>2022</v>
      </c>
      <c r="B1995" t="s">
        <v>259</v>
      </c>
      <c r="C1995">
        <v>27163</v>
      </c>
      <c r="D1995" t="s">
        <v>278</v>
      </c>
      <c r="E1995" t="s">
        <v>261</v>
      </c>
      <c r="F1995" t="s">
        <v>270</v>
      </c>
      <c r="G1995" t="s">
        <v>263</v>
      </c>
      <c r="H1995">
        <v>64354.784489093297</v>
      </c>
      <c r="I1995" t="s">
        <v>284</v>
      </c>
      <c r="J1995" t="s">
        <v>285</v>
      </c>
      <c r="K1995">
        <v>268651</v>
      </c>
      <c r="L1995" t="s">
        <v>286</v>
      </c>
      <c r="M1995">
        <v>0.24</v>
      </c>
    </row>
    <row r="1996" spans="1:13" x14ac:dyDescent="0.25">
      <c r="A1996">
        <v>2022</v>
      </c>
      <c r="B1996" t="s">
        <v>259</v>
      </c>
      <c r="C1996">
        <v>27163</v>
      </c>
      <c r="D1996" t="s">
        <v>278</v>
      </c>
      <c r="E1996" t="s">
        <v>261</v>
      </c>
      <c r="F1996" t="s">
        <v>270</v>
      </c>
      <c r="G1996" t="s">
        <v>267</v>
      </c>
      <c r="H1996">
        <v>285808.18359258102</v>
      </c>
      <c r="I1996" t="s">
        <v>284</v>
      </c>
      <c r="J1996" t="s">
        <v>285</v>
      </c>
      <c r="K1996">
        <v>268651</v>
      </c>
      <c r="L1996" t="s">
        <v>286</v>
      </c>
      <c r="M1996">
        <v>1.06</v>
      </c>
    </row>
    <row r="1997" spans="1:13" x14ac:dyDescent="0.25">
      <c r="A1997">
        <v>2022</v>
      </c>
      <c r="B1997" t="s">
        <v>259</v>
      </c>
      <c r="C1997">
        <v>27163</v>
      </c>
      <c r="D1997" t="s">
        <v>278</v>
      </c>
      <c r="E1997" t="s">
        <v>261</v>
      </c>
      <c r="F1997" t="s">
        <v>270</v>
      </c>
      <c r="G1997" t="s">
        <v>269</v>
      </c>
      <c r="H1997">
        <v>288.33852982437497</v>
      </c>
      <c r="I1997" t="s">
        <v>284</v>
      </c>
      <c r="J1997" t="s">
        <v>285</v>
      </c>
      <c r="K1997">
        <v>268651</v>
      </c>
      <c r="L1997" t="s">
        <v>286</v>
      </c>
      <c r="M1997">
        <v>0</v>
      </c>
    </row>
    <row r="1998" spans="1:13" x14ac:dyDescent="0.25">
      <c r="A1998">
        <v>2022</v>
      </c>
      <c r="B1998" t="s">
        <v>259</v>
      </c>
      <c r="C1998">
        <v>55093</v>
      </c>
      <c r="D1998" t="s">
        <v>279</v>
      </c>
      <c r="E1998" t="s">
        <v>261</v>
      </c>
      <c r="F1998" t="s">
        <v>262</v>
      </c>
      <c r="G1998" t="s">
        <v>263</v>
      </c>
      <c r="H1998">
        <v>111587.01567605999</v>
      </c>
      <c r="I1998" t="s">
        <v>284</v>
      </c>
      <c r="J1998" t="s">
        <v>285</v>
      </c>
      <c r="K1998">
        <v>42187</v>
      </c>
      <c r="L1998" t="s">
        <v>286</v>
      </c>
      <c r="M1998">
        <v>2.65</v>
      </c>
    </row>
    <row r="1999" spans="1:13" x14ac:dyDescent="0.25">
      <c r="A1999">
        <v>2022</v>
      </c>
      <c r="B1999" t="s">
        <v>259</v>
      </c>
      <c r="C1999">
        <v>55093</v>
      </c>
      <c r="D1999" t="s">
        <v>279</v>
      </c>
      <c r="E1999" t="s">
        <v>261</v>
      </c>
      <c r="F1999" t="s">
        <v>262</v>
      </c>
      <c r="G1999" t="s">
        <v>267</v>
      </c>
      <c r="H1999">
        <v>4168.8913492907704</v>
      </c>
      <c r="I1999" t="s">
        <v>284</v>
      </c>
      <c r="J1999" t="s">
        <v>285</v>
      </c>
      <c r="K1999">
        <v>42187</v>
      </c>
      <c r="L1999" t="s">
        <v>286</v>
      </c>
      <c r="M1999">
        <v>0.1</v>
      </c>
    </row>
    <row r="2000" spans="1:13" x14ac:dyDescent="0.25">
      <c r="A2000">
        <v>2022</v>
      </c>
      <c r="B2000" t="s">
        <v>259</v>
      </c>
      <c r="C2000">
        <v>55093</v>
      </c>
      <c r="D2000" t="s">
        <v>279</v>
      </c>
      <c r="E2000" t="s">
        <v>261</v>
      </c>
      <c r="F2000" t="s">
        <v>262</v>
      </c>
      <c r="G2000" t="s">
        <v>269</v>
      </c>
      <c r="H2000">
        <v>257.14232182042201</v>
      </c>
      <c r="I2000" t="s">
        <v>284</v>
      </c>
      <c r="J2000" t="s">
        <v>285</v>
      </c>
      <c r="K2000">
        <v>42187</v>
      </c>
      <c r="L2000" t="s">
        <v>286</v>
      </c>
      <c r="M2000">
        <v>0.01</v>
      </c>
    </row>
    <row r="2001" spans="1:13" x14ac:dyDescent="0.25">
      <c r="A2001">
        <v>2022</v>
      </c>
      <c r="B2001" t="s">
        <v>259</v>
      </c>
      <c r="C2001">
        <v>55093</v>
      </c>
      <c r="D2001" t="s">
        <v>279</v>
      </c>
      <c r="E2001" t="s">
        <v>261</v>
      </c>
      <c r="F2001" t="s">
        <v>268</v>
      </c>
      <c r="G2001" t="s">
        <v>263</v>
      </c>
      <c r="H2001">
        <v>200.95984422301299</v>
      </c>
      <c r="I2001" t="s">
        <v>284</v>
      </c>
      <c r="J2001" t="s">
        <v>285</v>
      </c>
      <c r="K2001">
        <v>42187</v>
      </c>
      <c r="L2001" t="s">
        <v>286</v>
      </c>
      <c r="M2001">
        <v>0</v>
      </c>
    </row>
    <row r="2002" spans="1:13" x14ac:dyDescent="0.25">
      <c r="A2002">
        <v>2022</v>
      </c>
      <c r="B2002" t="s">
        <v>259</v>
      </c>
      <c r="C2002">
        <v>55093</v>
      </c>
      <c r="D2002" t="s">
        <v>279</v>
      </c>
      <c r="E2002" t="s">
        <v>261</v>
      </c>
      <c r="F2002" t="s">
        <v>268</v>
      </c>
      <c r="G2002" t="s">
        <v>267</v>
      </c>
      <c r="H2002">
        <v>3493.62656170634</v>
      </c>
      <c r="I2002" t="s">
        <v>284</v>
      </c>
      <c r="J2002" t="s">
        <v>285</v>
      </c>
      <c r="K2002">
        <v>42187</v>
      </c>
      <c r="L2002" t="s">
        <v>286</v>
      </c>
      <c r="M2002">
        <v>0.08</v>
      </c>
    </row>
    <row r="2003" spans="1:13" x14ac:dyDescent="0.25">
      <c r="A2003">
        <v>2022</v>
      </c>
      <c r="B2003" t="s">
        <v>259</v>
      </c>
      <c r="C2003">
        <v>55093</v>
      </c>
      <c r="D2003" t="s">
        <v>279</v>
      </c>
      <c r="E2003" t="s">
        <v>261</v>
      </c>
      <c r="F2003" t="s">
        <v>270</v>
      </c>
      <c r="G2003" t="s">
        <v>263</v>
      </c>
      <c r="H2003">
        <v>10389.8875474041</v>
      </c>
      <c r="I2003" t="s">
        <v>284</v>
      </c>
      <c r="J2003" t="s">
        <v>285</v>
      </c>
      <c r="K2003">
        <v>42187</v>
      </c>
      <c r="L2003" t="s">
        <v>286</v>
      </c>
      <c r="M2003">
        <v>0.25</v>
      </c>
    </row>
    <row r="2004" spans="1:13" x14ac:dyDescent="0.25">
      <c r="A2004">
        <v>2022</v>
      </c>
      <c r="B2004" t="s">
        <v>259</v>
      </c>
      <c r="C2004">
        <v>55093</v>
      </c>
      <c r="D2004" t="s">
        <v>279</v>
      </c>
      <c r="E2004" t="s">
        <v>261</v>
      </c>
      <c r="F2004" t="s">
        <v>270</v>
      </c>
      <c r="G2004" t="s">
        <v>267</v>
      </c>
      <c r="H2004">
        <v>44521.526269488597</v>
      </c>
      <c r="I2004" t="s">
        <v>284</v>
      </c>
      <c r="J2004" t="s">
        <v>285</v>
      </c>
      <c r="K2004">
        <v>42187</v>
      </c>
      <c r="L2004" t="s">
        <v>286</v>
      </c>
      <c r="M2004">
        <v>1.06</v>
      </c>
    </row>
    <row r="2005" spans="1:13" x14ac:dyDescent="0.25">
      <c r="A2005">
        <v>2022</v>
      </c>
      <c r="B2005" t="s">
        <v>259</v>
      </c>
      <c r="C2005">
        <v>55093</v>
      </c>
      <c r="D2005" t="s">
        <v>279</v>
      </c>
      <c r="E2005" t="s">
        <v>261</v>
      </c>
      <c r="F2005" t="s">
        <v>270</v>
      </c>
      <c r="G2005" t="s">
        <v>269</v>
      </c>
      <c r="H2005">
        <v>26.133280812556599</v>
      </c>
      <c r="I2005" t="s">
        <v>284</v>
      </c>
      <c r="J2005" t="s">
        <v>285</v>
      </c>
      <c r="K2005">
        <v>42187</v>
      </c>
      <c r="L2005" t="s">
        <v>286</v>
      </c>
      <c r="M2005">
        <v>0</v>
      </c>
    </row>
    <row r="2006" spans="1:13" x14ac:dyDescent="0.25">
      <c r="A2006">
        <v>2022</v>
      </c>
      <c r="B2006" t="s">
        <v>259</v>
      </c>
      <c r="C2006">
        <v>55109</v>
      </c>
      <c r="D2006" t="s">
        <v>280</v>
      </c>
      <c r="E2006" t="s">
        <v>261</v>
      </c>
      <c r="F2006" t="s">
        <v>262</v>
      </c>
      <c r="G2006" t="s">
        <v>263</v>
      </c>
      <c r="H2006">
        <v>348790.125357849</v>
      </c>
      <c r="I2006" t="s">
        <v>284</v>
      </c>
      <c r="J2006" t="s">
        <v>285</v>
      </c>
      <c r="K2006">
        <v>93752</v>
      </c>
      <c r="L2006" t="s">
        <v>286</v>
      </c>
      <c r="M2006">
        <v>3.72</v>
      </c>
    </row>
    <row r="2007" spans="1:13" x14ac:dyDescent="0.25">
      <c r="A2007">
        <v>2022</v>
      </c>
      <c r="B2007" t="s">
        <v>259</v>
      </c>
      <c r="C2007">
        <v>55109</v>
      </c>
      <c r="D2007" t="s">
        <v>280</v>
      </c>
      <c r="E2007" t="s">
        <v>261</v>
      </c>
      <c r="F2007" t="s">
        <v>262</v>
      </c>
      <c r="G2007" t="s">
        <v>267</v>
      </c>
      <c r="H2007">
        <v>11980.160992782199</v>
      </c>
      <c r="I2007" t="s">
        <v>284</v>
      </c>
      <c r="J2007" t="s">
        <v>285</v>
      </c>
      <c r="K2007">
        <v>93752</v>
      </c>
      <c r="L2007" t="s">
        <v>286</v>
      </c>
      <c r="M2007">
        <v>0.13</v>
      </c>
    </row>
    <row r="2008" spans="1:13" x14ac:dyDescent="0.25">
      <c r="A2008">
        <v>2022</v>
      </c>
      <c r="B2008" t="s">
        <v>259</v>
      </c>
      <c r="C2008">
        <v>55109</v>
      </c>
      <c r="D2008" t="s">
        <v>280</v>
      </c>
      <c r="E2008" t="s">
        <v>261</v>
      </c>
      <c r="F2008" t="s">
        <v>262</v>
      </c>
      <c r="G2008" t="s">
        <v>269</v>
      </c>
      <c r="H2008">
        <v>808.19682850979996</v>
      </c>
      <c r="I2008" t="s">
        <v>284</v>
      </c>
      <c r="J2008" t="s">
        <v>285</v>
      </c>
      <c r="K2008">
        <v>93752</v>
      </c>
      <c r="L2008" t="s">
        <v>286</v>
      </c>
      <c r="M2008">
        <v>0.01</v>
      </c>
    </row>
    <row r="2009" spans="1:13" x14ac:dyDescent="0.25">
      <c r="A2009">
        <v>2022</v>
      </c>
      <c r="B2009" t="s">
        <v>259</v>
      </c>
      <c r="C2009">
        <v>55109</v>
      </c>
      <c r="D2009" t="s">
        <v>280</v>
      </c>
      <c r="E2009" t="s">
        <v>261</v>
      </c>
      <c r="F2009" t="s">
        <v>268</v>
      </c>
      <c r="G2009" t="s">
        <v>263</v>
      </c>
      <c r="H2009">
        <v>974.24011523400202</v>
      </c>
      <c r="I2009" t="s">
        <v>284</v>
      </c>
      <c r="J2009" t="s">
        <v>285</v>
      </c>
      <c r="K2009">
        <v>93752</v>
      </c>
      <c r="L2009" t="s">
        <v>286</v>
      </c>
      <c r="M2009">
        <v>0.01</v>
      </c>
    </row>
    <row r="2010" spans="1:13" x14ac:dyDescent="0.25">
      <c r="A2010">
        <v>2022</v>
      </c>
      <c r="B2010" t="s">
        <v>259</v>
      </c>
      <c r="C2010">
        <v>55109</v>
      </c>
      <c r="D2010" t="s">
        <v>280</v>
      </c>
      <c r="E2010" t="s">
        <v>261</v>
      </c>
      <c r="F2010" t="s">
        <v>268</v>
      </c>
      <c r="G2010" t="s">
        <v>267</v>
      </c>
      <c r="H2010">
        <v>13343.339742791501</v>
      </c>
      <c r="I2010" t="s">
        <v>284</v>
      </c>
      <c r="J2010" t="s">
        <v>285</v>
      </c>
      <c r="K2010">
        <v>93752</v>
      </c>
      <c r="L2010" t="s">
        <v>286</v>
      </c>
      <c r="M2010">
        <v>0.14000000000000001</v>
      </c>
    </row>
    <row r="2011" spans="1:13" x14ac:dyDescent="0.25">
      <c r="A2011">
        <v>2022</v>
      </c>
      <c r="B2011" t="s">
        <v>259</v>
      </c>
      <c r="C2011">
        <v>55109</v>
      </c>
      <c r="D2011" t="s">
        <v>280</v>
      </c>
      <c r="E2011" t="s">
        <v>261</v>
      </c>
      <c r="F2011" t="s">
        <v>270</v>
      </c>
      <c r="G2011" t="s">
        <v>263</v>
      </c>
      <c r="H2011">
        <v>39297.632725845302</v>
      </c>
      <c r="I2011" t="s">
        <v>284</v>
      </c>
      <c r="J2011" t="s">
        <v>285</v>
      </c>
      <c r="K2011">
        <v>93752</v>
      </c>
      <c r="L2011" t="s">
        <v>286</v>
      </c>
      <c r="M2011">
        <v>0.42</v>
      </c>
    </row>
    <row r="2012" spans="1:13" x14ac:dyDescent="0.25">
      <c r="A2012">
        <v>2022</v>
      </c>
      <c r="B2012" t="s">
        <v>259</v>
      </c>
      <c r="C2012">
        <v>55109</v>
      </c>
      <c r="D2012" t="s">
        <v>280</v>
      </c>
      <c r="E2012" t="s">
        <v>261</v>
      </c>
      <c r="F2012" t="s">
        <v>270</v>
      </c>
      <c r="G2012" t="s">
        <v>267</v>
      </c>
      <c r="H2012">
        <v>391884.369057476</v>
      </c>
      <c r="I2012" t="s">
        <v>284</v>
      </c>
      <c r="J2012" t="s">
        <v>285</v>
      </c>
      <c r="K2012">
        <v>93752</v>
      </c>
      <c r="L2012" t="s">
        <v>286</v>
      </c>
      <c r="M2012">
        <v>4.18</v>
      </c>
    </row>
    <row r="2013" spans="1:13" x14ac:dyDescent="0.25">
      <c r="A2013">
        <v>2022</v>
      </c>
      <c r="B2013" t="s">
        <v>259</v>
      </c>
      <c r="C2013">
        <v>55109</v>
      </c>
      <c r="D2013" t="s">
        <v>280</v>
      </c>
      <c r="E2013" t="s">
        <v>261</v>
      </c>
      <c r="F2013" t="s">
        <v>270</v>
      </c>
      <c r="G2013" t="s">
        <v>269</v>
      </c>
      <c r="H2013">
        <v>96.867686578017</v>
      </c>
      <c r="I2013" t="s">
        <v>284</v>
      </c>
      <c r="J2013" t="s">
        <v>285</v>
      </c>
      <c r="K2013">
        <v>93752</v>
      </c>
      <c r="L2013" t="s">
        <v>286</v>
      </c>
      <c r="M2013">
        <v>0</v>
      </c>
    </row>
    <row r="2014" spans="1:13" x14ac:dyDescent="0.25">
      <c r="A2014">
        <v>2021</v>
      </c>
      <c r="B2014" t="s">
        <v>259</v>
      </c>
      <c r="C2014">
        <v>27003</v>
      </c>
      <c r="D2014" t="s">
        <v>260</v>
      </c>
      <c r="E2014" t="s">
        <v>287</v>
      </c>
      <c r="F2014" t="s">
        <v>288</v>
      </c>
      <c r="G2014" t="s">
        <v>289</v>
      </c>
      <c r="H2014">
        <v>11724.06931325</v>
      </c>
      <c r="I2014" t="s">
        <v>290</v>
      </c>
      <c r="J2014" t="s">
        <v>291</v>
      </c>
      <c r="K2014">
        <v>360773</v>
      </c>
      <c r="L2014" t="s">
        <v>286</v>
      </c>
      <c r="M2014">
        <v>0.03</v>
      </c>
    </row>
    <row r="2015" spans="1:13" x14ac:dyDescent="0.25">
      <c r="A2015">
        <v>2021</v>
      </c>
      <c r="B2015" t="s">
        <v>259</v>
      </c>
      <c r="C2015">
        <v>27019</v>
      </c>
      <c r="D2015" t="s">
        <v>271</v>
      </c>
      <c r="E2015" t="s">
        <v>287</v>
      </c>
      <c r="F2015" t="s">
        <v>288</v>
      </c>
      <c r="G2015" t="s">
        <v>289</v>
      </c>
      <c r="H2015">
        <v>11032.194213500001</v>
      </c>
      <c r="I2015" t="s">
        <v>290</v>
      </c>
      <c r="J2015" t="s">
        <v>291</v>
      </c>
      <c r="K2015">
        <v>105694</v>
      </c>
      <c r="L2015" t="s">
        <v>286</v>
      </c>
      <c r="M2015">
        <v>0.1</v>
      </c>
    </row>
    <row r="2016" spans="1:13" x14ac:dyDescent="0.25">
      <c r="A2016">
        <v>2021</v>
      </c>
      <c r="B2016" t="s">
        <v>259</v>
      </c>
      <c r="C2016">
        <v>27025</v>
      </c>
      <c r="D2016" t="s">
        <v>272</v>
      </c>
      <c r="E2016" t="s">
        <v>287</v>
      </c>
      <c r="F2016" t="s">
        <v>288</v>
      </c>
      <c r="G2016" t="s">
        <v>289</v>
      </c>
      <c r="H2016">
        <v>13062.45065375</v>
      </c>
      <c r="I2016" t="s">
        <v>290</v>
      </c>
      <c r="J2016" t="s">
        <v>291</v>
      </c>
      <c r="K2016">
        <v>56328</v>
      </c>
      <c r="L2016" t="s">
        <v>286</v>
      </c>
      <c r="M2016">
        <v>0.23</v>
      </c>
    </row>
    <row r="2017" spans="1:13" x14ac:dyDescent="0.25">
      <c r="A2017">
        <v>2021</v>
      </c>
      <c r="B2017" t="s">
        <v>259</v>
      </c>
      <c r="C2017">
        <v>27037</v>
      </c>
      <c r="D2017" t="s">
        <v>273</v>
      </c>
      <c r="E2017" t="s">
        <v>287</v>
      </c>
      <c r="F2017" t="s">
        <v>288</v>
      </c>
      <c r="G2017" t="s">
        <v>289</v>
      </c>
      <c r="H2017">
        <v>17879.111184249999</v>
      </c>
      <c r="I2017" t="s">
        <v>290</v>
      </c>
      <c r="J2017" t="s">
        <v>291</v>
      </c>
      <c r="K2017">
        <v>435863</v>
      </c>
      <c r="L2017" t="s">
        <v>286</v>
      </c>
      <c r="M2017">
        <v>0.04</v>
      </c>
    </row>
    <row r="2018" spans="1:13" x14ac:dyDescent="0.25">
      <c r="A2018">
        <v>2021</v>
      </c>
      <c r="B2018" t="s">
        <v>259</v>
      </c>
      <c r="C2018">
        <v>27053</v>
      </c>
      <c r="D2018" t="s">
        <v>274</v>
      </c>
      <c r="E2018" t="s">
        <v>287</v>
      </c>
      <c r="F2018" t="s">
        <v>288</v>
      </c>
      <c r="G2018" t="s">
        <v>289</v>
      </c>
      <c r="H2018">
        <v>36453.878206499998</v>
      </c>
      <c r="I2018" t="s">
        <v>290</v>
      </c>
      <c r="J2018" t="s">
        <v>291</v>
      </c>
      <c r="K2018">
        <v>1270283</v>
      </c>
      <c r="L2018" t="s">
        <v>286</v>
      </c>
      <c r="M2018">
        <v>0.03</v>
      </c>
    </row>
    <row r="2019" spans="1:13" x14ac:dyDescent="0.25">
      <c r="A2019">
        <v>2021</v>
      </c>
      <c r="B2019" t="s">
        <v>259</v>
      </c>
      <c r="C2019">
        <v>27123</v>
      </c>
      <c r="D2019" t="s">
        <v>275</v>
      </c>
      <c r="E2019" t="s">
        <v>287</v>
      </c>
      <c r="F2019" t="s">
        <v>288</v>
      </c>
      <c r="G2019" t="s">
        <v>289</v>
      </c>
      <c r="H2019">
        <v>12536.928037</v>
      </c>
      <c r="I2019" t="s">
        <v>290</v>
      </c>
      <c r="J2019" t="s">
        <v>291</v>
      </c>
      <c r="K2019">
        <v>549377</v>
      </c>
      <c r="L2019" t="s">
        <v>286</v>
      </c>
      <c r="M2019">
        <v>0.02</v>
      </c>
    </row>
    <row r="2020" spans="1:13" x14ac:dyDescent="0.25">
      <c r="A2020">
        <v>2021</v>
      </c>
      <c r="B2020" t="s">
        <v>259</v>
      </c>
      <c r="C2020">
        <v>27139</v>
      </c>
      <c r="D2020" t="s">
        <v>276</v>
      </c>
      <c r="E2020" t="s">
        <v>287</v>
      </c>
      <c r="F2020" t="s">
        <v>288</v>
      </c>
      <c r="G2020" t="s">
        <v>289</v>
      </c>
      <c r="H2020">
        <v>7104.0071717500005</v>
      </c>
      <c r="I2020" t="s">
        <v>290</v>
      </c>
      <c r="J2020" t="s">
        <v>291</v>
      </c>
      <c r="K2020">
        <v>149568</v>
      </c>
      <c r="L2020" t="s">
        <v>286</v>
      </c>
      <c r="M2020">
        <v>0.05</v>
      </c>
    </row>
    <row r="2021" spans="1:13" x14ac:dyDescent="0.25">
      <c r="A2021">
        <v>2021</v>
      </c>
      <c r="B2021" t="s">
        <v>259</v>
      </c>
      <c r="C2021">
        <v>27141</v>
      </c>
      <c r="D2021" t="s">
        <v>277</v>
      </c>
      <c r="E2021" t="s">
        <v>287</v>
      </c>
      <c r="F2021" t="s">
        <v>288</v>
      </c>
      <c r="G2021" t="s">
        <v>289</v>
      </c>
      <c r="H2021">
        <v>12404.602198250001</v>
      </c>
      <c r="I2021" t="s">
        <v>290</v>
      </c>
      <c r="J2021" t="s">
        <v>291</v>
      </c>
      <c r="K2021">
        <v>96295</v>
      </c>
      <c r="L2021" t="s">
        <v>286</v>
      </c>
      <c r="M2021">
        <v>0.13</v>
      </c>
    </row>
    <row r="2022" spans="1:13" x14ac:dyDescent="0.25">
      <c r="A2022">
        <v>2021</v>
      </c>
      <c r="B2022" t="s">
        <v>259</v>
      </c>
      <c r="C2022">
        <v>27163</v>
      </c>
      <c r="D2022" t="s">
        <v>278</v>
      </c>
      <c r="E2022" t="s">
        <v>287</v>
      </c>
      <c r="F2022" t="s">
        <v>288</v>
      </c>
      <c r="G2022" t="s">
        <v>289</v>
      </c>
      <c r="H2022">
        <v>7285.4826077500002</v>
      </c>
      <c r="I2022" t="s">
        <v>290</v>
      </c>
      <c r="J2022" t="s">
        <v>291</v>
      </c>
      <c r="K2022">
        <v>264818</v>
      </c>
      <c r="L2022" t="s">
        <v>286</v>
      </c>
      <c r="M2022">
        <v>0.03</v>
      </c>
    </row>
    <row r="2023" spans="1:13" x14ac:dyDescent="0.25">
      <c r="A2023">
        <v>2021</v>
      </c>
      <c r="B2023" t="s">
        <v>259</v>
      </c>
      <c r="C2023">
        <v>55093</v>
      </c>
      <c r="D2023" t="s">
        <v>279</v>
      </c>
      <c r="E2023" t="s">
        <v>287</v>
      </c>
      <c r="F2023" t="s">
        <v>288</v>
      </c>
      <c r="G2023" t="s">
        <v>289</v>
      </c>
      <c r="H2023">
        <v>19920.451057499999</v>
      </c>
      <c r="I2023" t="s">
        <v>290</v>
      </c>
      <c r="J2023" t="s">
        <v>291</v>
      </c>
      <c r="K2023">
        <v>42204</v>
      </c>
      <c r="L2023" t="s">
        <v>286</v>
      </c>
      <c r="M2023">
        <v>0.47</v>
      </c>
    </row>
    <row r="2024" spans="1:13" x14ac:dyDescent="0.25">
      <c r="A2024">
        <v>2021</v>
      </c>
      <c r="B2024" t="s">
        <v>259</v>
      </c>
      <c r="C2024">
        <v>55109</v>
      </c>
      <c r="D2024" t="s">
        <v>280</v>
      </c>
      <c r="E2024" t="s">
        <v>287</v>
      </c>
      <c r="F2024" t="s">
        <v>288</v>
      </c>
      <c r="G2024" t="s">
        <v>289</v>
      </c>
      <c r="H2024">
        <v>24474.536476249999</v>
      </c>
      <c r="I2024" t="s">
        <v>290</v>
      </c>
      <c r="J2024" t="s">
        <v>291</v>
      </c>
      <c r="K2024">
        <v>92495</v>
      </c>
      <c r="L2024" t="s">
        <v>286</v>
      </c>
      <c r="M2024">
        <v>0.26</v>
      </c>
    </row>
    <row r="2025" spans="1:13" x14ac:dyDescent="0.25">
      <c r="A2025">
        <v>2021</v>
      </c>
      <c r="B2025" t="s">
        <v>259</v>
      </c>
      <c r="C2025">
        <v>27003</v>
      </c>
      <c r="D2025" t="s">
        <v>260</v>
      </c>
      <c r="E2025" t="s">
        <v>287</v>
      </c>
      <c r="F2025" t="s">
        <v>288</v>
      </c>
      <c r="G2025" t="s">
        <v>292</v>
      </c>
      <c r="H2025">
        <v>2268.6836907500001</v>
      </c>
      <c r="I2025" t="s">
        <v>290</v>
      </c>
      <c r="J2025" t="s">
        <v>291</v>
      </c>
      <c r="K2025">
        <v>360773</v>
      </c>
      <c r="L2025" t="s">
        <v>286</v>
      </c>
      <c r="M2025">
        <v>0.01</v>
      </c>
    </row>
    <row r="2026" spans="1:13" x14ac:dyDescent="0.25">
      <c r="A2026">
        <v>2021</v>
      </c>
      <c r="B2026" t="s">
        <v>259</v>
      </c>
      <c r="C2026">
        <v>27019</v>
      </c>
      <c r="D2026" t="s">
        <v>271</v>
      </c>
      <c r="E2026" t="s">
        <v>287</v>
      </c>
      <c r="F2026" t="s">
        <v>288</v>
      </c>
      <c r="G2026" t="s">
        <v>292</v>
      </c>
      <c r="H2026">
        <v>1615.4894147499999</v>
      </c>
      <c r="I2026" t="s">
        <v>290</v>
      </c>
      <c r="J2026" t="s">
        <v>291</v>
      </c>
      <c r="K2026">
        <v>105694</v>
      </c>
      <c r="L2026" t="s">
        <v>286</v>
      </c>
      <c r="M2026">
        <v>0.02</v>
      </c>
    </row>
    <row r="2027" spans="1:13" x14ac:dyDescent="0.25">
      <c r="A2027">
        <v>2021</v>
      </c>
      <c r="B2027" t="s">
        <v>259</v>
      </c>
      <c r="C2027">
        <v>27025</v>
      </c>
      <c r="D2027" t="s">
        <v>272</v>
      </c>
      <c r="E2027" t="s">
        <v>287</v>
      </c>
      <c r="F2027" t="s">
        <v>288</v>
      </c>
      <c r="G2027" t="s">
        <v>292</v>
      </c>
      <c r="H2027">
        <v>1545.5043137499999</v>
      </c>
      <c r="I2027" t="s">
        <v>290</v>
      </c>
      <c r="J2027" t="s">
        <v>291</v>
      </c>
      <c r="K2027">
        <v>56328</v>
      </c>
      <c r="L2027" t="s">
        <v>286</v>
      </c>
      <c r="M2027">
        <v>0.03</v>
      </c>
    </row>
    <row r="2028" spans="1:13" x14ac:dyDescent="0.25">
      <c r="A2028">
        <v>2021</v>
      </c>
      <c r="B2028" t="s">
        <v>259</v>
      </c>
      <c r="C2028">
        <v>27037</v>
      </c>
      <c r="D2028" t="s">
        <v>273</v>
      </c>
      <c r="E2028" t="s">
        <v>287</v>
      </c>
      <c r="F2028" t="s">
        <v>288</v>
      </c>
      <c r="G2028" t="s">
        <v>292</v>
      </c>
      <c r="H2028">
        <v>2373.66134225</v>
      </c>
      <c r="I2028" t="s">
        <v>290</v>
      </c>
      <c r="J2028" t="s">
        <v>291</v>
      </c>
      <c r="K2028">
        <v>435863</v>
      </c>
      <c r="L2028" t="s">
        <v>286</v>
      </c>
      <c r="M2028">
        <v>0.01</v>
      </c>
    </row>
    <row r="2029" spans="1:13" x14ac:dyDescent="0.25">
      <c r="A2029">
        <v>2021</v>
      </c>
      <c r="B2029" t="s">
        <v>259</v>
      </c>
      <c r="C2029">
        <v>27053</v>
      </c>
      <c r="D2029" t="s">
        <v>274</v>
      </c>
      <c r="E2029" t="s">
        <v>287</v>
      </c>
      <c r="F2029" t="s">
        <v>288</v>
      </c>
      <c r="G2029" t="s">
        <v>292</v>
      </c>
      <c r="H2029">
        <v>7791.6745780000001</v>
      </c>
      <c r="I2029" t="s">
        <v>290</v>
      </c>
      <c r="J2029" t="s">
        <v>291</v>
      </c>
      <c r="K2029">
        <v>1270283</v>
      </c>
      <c r="L2029" t="s">
        <v>286</v>
      </c>
      <c r="M2029">
        <v>0.01</v>
      </c>
    </row>
    <row r="2030" spans="1:13" x14ac:dyDescent="0.25">
      <c r="A2030">
        <v>2021</v>
      </c>
      <c r="B2030" t="s">
        <v>259</v>
      </c>
      <c r="C2030">
        <v>27123</v>
      </c>
      <c r="D2030" t="s">
        <v>275</v>
      </c>
      <c r="E2030" t="s">
        <v>287</v>
      </c>
      <c r="F2030" t="s">
        <v>288</v>
      </c>
      <c r="G2030" t="s">
        <v>292</v>
      </c>
      <c r="H2030">
        <v>4747.3226844999999</v>
      </c>
      <c r="I2030" t="s">
        <v>290</v>
      </c>
      <c r="J2030" t="s">
        <v>291</v>
      </c>
      <c r="K2030">
        <v>549377</v>
      </c>
      <c r="L2030" t="s">
        <v>286</v>
      </c>
      <c r="M2030">
        <v>0.01</v>
      </c>
    </row>
    <row r="2031" spans="1:13" x14ac:dyDescent="0.25">
      <c r="A2031">
        <v>2021</v>
      </c>
      <c r="B2031" t="s">
        <v>259</v>
      </c>
      <c r="C2031">
        <v>27139</v>
      </c>
      <c r="D2031" t="s">
        <v>276</v>
      </c>
      <c r="E2031" t="s">
        <v>287</v>
      </c>
      <c r="F2031" t="s">
        <v>288</v>
      </c>
      <c r="G2031" t="s">
        <v>292</v>
      </c>
      <c r="H2031">
        <v>530.72034925000003</v>
      </c>
      <c r="I2031" t="s">
        <v>290</v>
      </c>
      <c r="J2031" t="s">
        <v>291</v>
      </c>
      <c r="K2031">
        <v>149568</v>
      </c>
      <c r="L2031" t="s">
        <v>286</v>
      </c>
      <c r="M2031">
        <v>0</v>
      </c>
    </row>
    <row r="2032" spans="1:13" x14ac:dyDescent="0.25">
      <c r="A2032">
        <v>2021</v>
      </c>
      <c r="B2032" t="s">
        <v>259</v>
      </c>
      <c r="C2032">
        <v>27141</v>
      </c>
      <c r="D2032" t="s">
        <v>277</v>
      </c>
      <c r="E2032" t="s">
        <v>287</v>
      </c>
      <c r="F2032" t="s">
        <v>288</v>
      </c>
      <c r="G2032" t="s">
        <v>292</v>
      </c>
      <c r="H2032">
        <v>1428.86247875</v>
      </c>
      <c r="I2032" t="s">
        <v>290</v>
      </c>
      <c r="J2032" t="s">
        <v>291</v>
      </c>
      <c r="K2032">
        <v>96295</v>
      </c>
      <c r="L2032" t="s">
        <v>286</v>
      </c>
      <c r="M2032">
        <v>0.01</v>
      </c>
    </row>
    <row r="2033" spans="1:13" x14ac:dyDescent="0.25">
      <c r="A2033">
        <v>2021</v>
      </c>
      <c r="B2033" t="s">
        <v>259</v>
      </c>
      <c r="C2033">
        <v>27163</v>
      </c>
      <c r="D2033" t="s">
        <v>278</v>
      </c>
      <c r="E2033" t="s">
        <v>287</v>
      </c>
      <c r="F2033" t="s">
        <v>288</v>
      </c>
      <c r="G2033" t="s">
        <v>292</v>
      </c>
      <c r="H2033">
        <v>2478.6389937499998</v>
      </c>
      <c r="I2033" t="s">
        <v>290</v>
      </c>
      <c r="J2033" t="s">
        <v>291</v>
      </c>
      <c r="K2033">
        <v>264818</v>
      </c>
      <c r="L2033" t="s">
        <v>286</v>
      </c>
      <c r="M2033">
        <v>0.01</v>
      </c>
    </row>
    <row r="2034" spans="1:13" x14ac:dyDescent="0.25">
      <c r="A2034">
        <v>2021</v>
      </c>
      <c r="B2034" t="s">
        <v>259</v>
      </c>
      <c r="C2034">
        <v>55093</v>
      </c>
      <c r="D2034" t="s">
        <v>279</v>
      </c>
      <c r="E2034" t="s">
        <v>287</v>
      </c>
      <c r="F2034" t="s">
        <v>288</v>
      </c>
      <c r="G2034" t="s">
        <v>292</v>
      </c>
      <c r="H2034">
        <v>1294.8752635000001</v>
      </c>
      <c r="I2034" t="s">
        <v>290</v>
      </c>
      <c r="J2034" t="s">
        <v>291</v>
      </c>
      <c r="K2034">
        <v>42204</v>
      </c>
      <c r="L2034" t="s">
        <v>286</v>
      </c>
      <c r="M2034">
        <v>0.03</v>
      </c>
    </row>
    <row r="2035" spans="1:13" x14ac:dyDescent="0.25">
      <c r="A2035">
        <v>2021</v>
      </c>
      <c r="B2035" t="s">
        <v>259</v>
      </c>
      <c r="C2035">
        <v>55109</v>
      </c>
      <c r="D2035" t="s">
        <v>280</v>
      </c>
      <c r="E2035" t="s">
        <v>287</v>
      </c>
      <c r="F2035" t="s">
        <v>288</v>
      </c>
      <c r="G2035" t="s">
        <v>292</v>
      </c>
      <c r="H2035">
        <v>1574.6044145000001</v>
      </c>
      <c r="I2035" t="s">
        <v>290</v>
      </c>
      <c r="J2035" t="s">
        <v>291</v>
      </c>
      <c r="K2035">
        <v>92495</v>
      </c>
      <c r="L2035" t="s">
        <v>286</v>
      </c>
      <c r="M2035">
        <v>0.02</v>
      </c>
    </row>
    <row r="2036" spans="1:13" x14ac:dyDescent="0.25">
      <c r="A2036">
        <v>2021</v>
      </c>
      <c r="B2036" t="s">
        <v>259</v>
      </c>
      <c r="C2036">
        <v>27003</v>
      </c>
      <c r="D2036" t="s">
        <v>260</v>
      </c>
      <c r="E2036" t="s">
        <v>287</v>
      </c>
      <c r="F2036" t="s">
        <v>293</v>
      </c>
      <c r="G2036" t="s">
        <v>294</v>
      </c>
      <c r="H2036">
        <v>2018744.3126465899</v>
      </c>
      <c r="I2036" t="s">
        <v>295</v>
      </c>
      <c r="J2036" t="s">
        <v>296</v>
      </c>
      <c r="K2036">
        <v>360773</v>
      </c>
      <c r="L2036" t="s">
        <v>286</v>
      </c>
      <c r="M2036">
        <v>5.6</v>
      </c>
    </row>
    <row r="2037" spans="1:13" x14ac:dyDescent="0.25">
      <c r="A2037">
        <v>2021</v>
      </c>
      <c r="B2037" t="s">
        <v>259</v>
      </c>
      <c r="C2037">
        <v>27003</v>
      </c>
      <c r="D2037" t="s">
        <v>260</v>
      </c>
      <c r="E2037" t="s">
        <v>287</v>
      </c>
      <c r="F2037" t="s">
        <v>297</v>
      </c>
      <c r="G2037" t="s">
        <v>294</v>
      </c>
      <c r="H2037">
        <v>778328.16986657202</v>
      </c>
      <c r="I2037" t="s">
        <v>295</v>
      </c>
      <c r="J2037" t="s">
        <v>296</v>
      </c>
      <c r="K2037">
        <v>360773</v>
      </c>
      <c r="L2037" t="s">
        <v>286</v>
      </c>
      <c r="M2037">
        <v>2.16</v>
      </c>
    </row>
    <row r="2038" spans="1:13" x14ac:dyDescent="0.25">
      <c r="A2038">
        <v>2021</v>
      </c>
      <c r="B2038" t="s">
        <v>259</v>
      </c>
      <c r="C2038">
        <v>27003</v>
      </c>
      <c r="D2038" t="s">
        <v>260</v>
      </c>
      <c r="E2038" t="s">
        <v>287</v>
      </c>
      <c r="F2038" t="s">
        <v>298</v>
      </c>
      <c r="G2038" t="s">
        <v>294</v>
      </c>
      <c r="H2038">
        <v>595297.09517125599</v>
      </c>
      <c r="I2038" t="s">
        <v>295</v>
      </c>
      <c r="J2038" t="s">
        <v>296</v>
      </c>
      <c r="K2038">
        <v>360773</v>
      </c>
      <c r="L2038" t="s">
        <v>286</v>
      </c>
      <c r="M2038">
        <v>1.65</v>
      </c>
    </row>
    <row r="2039" spans="1:13" x14ac:dyDescent="0.25">
      <c r="A2039">
        <v>2021</v>
      </c>
      <c r="B2039" t="s">
        <v>259</v>
      </c>
      <c r="C2039">
        <v>27003</v>
      </c>
      <c r="D2039" t="s">
        <v>260</v>
      </c>
      <c r="E2039" t="s">
        <v>287</v>
      </c>
      <c r="F2039" t="s">
        <v>299</v>
      </c>
      <c r="G2039" t="s">
        <v>294</v>
      </c>
      <c r="H2039">
        <v>645119.04760875704</v>
      </c>
      <c r="I2039" t="s">
        <v>295</v>
      </c>
      <c r="J2039" t="s">
        <v>296</v>
      </c>
      <c r="K2039">
        <v>360773</v>
      </c>
      <c r="L2039" t="s">
        <v>286</v>
      </c>
      <c r="M2039">
        <v>1.79</v>
      </c>
    </row>
    <row r="2040" spans="1:13" x14ac:dyDescent="0.25">
      <c r="A2040">
        <v>2021</v>
      </c>
      <c r="B2040" t="s">
        <v>259</v>
      </c>
      <c r="C2040">
        <v>27019</v>
      </c>
      <c r="D2040" t="s">
        <v>271</v>
      </c>
      <c r="E2040" t="s">
        <v>287</v>
      </c>
      <c r="F2040" t="s">
        <v>293</v>
      </c>
      <c r="G2040" t="s">
        <v>294</v>
      </c>
      <c r="H2040">
        <v>555240.76323654898</v>
      </c>
      <c r="I2040" t="s">
        <v>295</v>
      </c>
      <c r="J2040" t="s">
        <v>296</v>
      </c>
      <c r="K2040">
        <v>105694</v>
      </c>
      <c r="L2040" t="s">
        <v>286</v>
      </c>
      <c r="M2040">
        <v>5.25</v>
      </c>
    </row>
    <row r="2041" spans="1:13" x14ac:dyDescent="0.25">
      <c r="A2041">
        <v>2021</v>
      </c>
      <c r="B2041" t="s">
        <v>259</v>
      </c>
      <c r="C2041">
        <v>27019</v>
      </c>
      <c r="D2041" t="s">
        <v>271</v>
      </c>
      <c r="E2041" t="s">
        <v>287</v>
      </c>
      <c r="F2041" t="s">
        <v>297</v>
      </c>
      <c r="G2041" t="s">
        <v>294</v>
      </c>
      <c r="H2041">
        <v>200620.051510905</v>
      </c>
      <c r="I2041" t="s">
        <v>295</v>
      </c>
      <c r="J2041" t="s">
        <v>296</v>
      </c>
      <c r="K2041">
        <v>105694</v>
      </c>
      <c r="L2041" t="s">
        <v>286</v>
      </c>
      <c r="M2041">
        <v>1.9</v>
      </c>
    </row>
    <row r="2042" spans="1:13" x14ac:dyDescent="0.25">
      <c r="A2042">
        <v>2021</v>
      </c>
      <c r="B2042" t="s">
        <v>259</v>
      </c>
      <c r="C2042">
        <v>27019</v>
      </c>
      <c r="D2042" t="s">
        <v>271</v>
      </c>
      <c r="E2042" t="s">
        <v>287</v>
      </c>
      <c r="F2042" t="s">
        <v>298</v>
      </c>
      <c r="G2042" t="s">
        <v>294</v>
      </c>
      <c r="H2042">
        <v>176988.679315785</v>
      </c>
      <c r="I2042" t="s">
        <v>295</v>
      </c>
      <c r="J2042" t="s">
        <v>296</v>
      </c>
      <c r="K2042">
        <v>105694</v>
      </c>
      <c r="L2042" t="s">
        <v>286</v>
      </c>
      <c r="M2042">
        <v>1.67</v>
      </c>
    </row>
    <row r="2043" spans="1:13" x14ac:dyDescent="0.25">
      <c r="A2043">
        <v>2021</v>
      </c>
      <c r="B2043" t="s">
        <v>259</v>
      </c>
      <c r="C2043">
        <v>27019</v>
      </c>
      <c r="D2043" t="s">
        <v>271</v>
      </c>
      <c r="E2043" t="s">
        <v>287</v>
      </c>
      <c r="F2043" t="s">
        <v>299</v>
      </c>
      <c r="G2043" t="s">
        <v>294</v>
      </c>
      <c r="H2043">
        <v>177632.03240985901</v>
      </c>
      <c r="I2043" t="s">
        <v>295</v>
      </c>
      <c r="J2043" t="s">
        <v>296</v>
      </c>
      <c r="K2043">
        <v>105694</v>
      </c>
      <c r="L2043" t="s">
        <v>286</v>
      </c>
      <c r="M2043">
        <v>1.68</v>
      </c>
    </row>
    <row r="2044" spans="1:13" x14ac:dyDescent="0.25">
      <c r="A2044">
        <v>2021</v>
      </c>
      <c r="B2044" t="s">
        <v>259</v>
      </c>
      <c r="C2044">
        <v>27025</v>
      </c>
      <c r="D2044" t="s">
        <v>272</v>
      </c>
      <c r="E2044" t="s">
        <v>287</v>
      </c>
      <c r="F2044" t="s">
        <v>293</v>
      </c>
      <c r="G2044" t="s">
        <v>294</v>
      </c>
      <c r="H2044">
        <v>273568.39804737398</v>
      </c>
      <c r="I2044" t="s">
        <v>295</v>
      </c>
      <c r="J2044" t="s">
        <v>296</v>
      </c>
      <c r="K2044">
        <v>56328</v>
      </c>
      <c r="L2044" t="s">
        <v>286</v>
      </c>
      <c r="M2044">
        <v>4.8600000000000003</v>
      </c>
    </row>
    <row r="2045" spans="1:13" x14ac:dyDescent="0.25">
      <c r="A2045">
        <v>2021</v>
      </c>
      <c r="B2045" t="s">
        <v>259</v>
      </c>
      <c r="C2045">
        <v>27025</v>
      </c>
      <c r="D2045" t="s">
        <v>272</v>
      </c>
      <c r="E2045" t="s">
        <v>287</v>
      </c>
      <c r="F2045" t="s">
        <v>297</v>
      </c>
      <c r="G2045" t="s">
        <v>294</v>
      </c>
      <c r="H2045">
        <v>49782.438202093399</v>
      </c>
      <c r="I2045" t="s">
        <v>295</v>
      </c>
      <c r="J2045" t="s">
        <v>296</v>
      </c>
      <c r="K2045">
        <v>56328</v>
      </c>
      <c r="L2045" t="s">
        <v>286</v>
      </c>
      <c r="M2045">
        <v>0.88</v>
      </c>
    </row>
    <row r="2046" spans="1:13" x14ac:dyDescent="0.25">
      <c r="A2046">
        <v>2021</v>
      </c>
      <c r="B2046" t="s">
        <v>259</v>
      </c>
      <c r="C2046">
        <v>27025</v>
      </c>
      <c r="D2046" t="s">
        <v>272</v>
      </c>
      <c r="E2046" t="s">
        <v>287</v>
      </c>
      <c r="F2046" t="s">
        <v>298</v>
      </c>
      <c r="G2046" t="s">
        <v>294</v>
      </c>
      <c r="H2046">
        <v>141281.47437082601</v>
      </c>
      <c r="I2046" t="s">
        <v>295</v>
      </c>
      <c r="J2046" t="s">
        <v>296</v>
      </c>
      <c r="K2046">
        <v>56328</v>
      </c>
      <c r="L2046" t="s">
        <v>286</v>
      </c>
      <c r="M2046">
        <v>2.5099999999999998</v>
      </c>
    </row>
    <row r="2047" spans="1:13" x14ac:dyDescent="0.25">
      <c r="A2047">
        <v>2021</v>
      </c>
      <c r="B2047" t="s">
        <v>259</v>
      </c>
      <c r="C2047">
        <v>27025</v>
      </c>
      <c r="D2047" t="s">
        <v>272</v>
      </c>
      <c r="E2047" t="s">
        <v>287</v>
      </c>
      <c r="F2047" t="s">
        <v>299</v>
      </c>
      <c r="G2047" t="s">
        <v>294</v>
      </c>
      <c r="H2047">
        <v>82504.485474454705</v>
      </c>
      <c r="I2047" t="s">
        <v>295</v>
      </c>
      <c r="J2047" t="s">
        <v>296</v>
      </c>
      <c r="K2047">
        <v>56328</v>
      </c>
      <c r="L2047" t="s">
        <v>286</v>
      </c>
      <c r="M2047">
        <v>1.46</v>
      </c>
    </row>
    <row r="2048" spans="1:13" x14ac:dyDescent="0.25">
      <c r="A2048">
        <v>2021</v>
      </c>
      <c r="B2048" t="s">
        <v>259</v>
      </c>
      <c r="C2048">
        <v>27037</v>
      </c>
      <c r="D2048" t="s">
        <v>273</v>
      </c>
      <c r="E2048" t="s">
        <v>287</v>
      </c>
      <c r="F2048" t="s">
        <v>293</v>
      </c>
      <c r="G2048" t="s">
        <v>294</v>
      </c>
      <c r="H2048">
        <v>2254669.8968315101</v>
      </c>
      <c r="I2048" t="s">
        <v>295</v>
      </c>
      <c r="J2048" t="s">
        <v>296</v>
      </c>
      <c r="K2048">
        <v>435863</v>
      </c>
      <c r="L2048" t="s">
        <v>286</v>
      </c>
      <c r="M2048">
        <v>5.17</v>
      </c>
    </row>
    <row r="2049" spans="1:13" x14ac:dyDescent="0.25">
      <c r="A2049">
        <v>2021</v>
      </c>
      <c r="B2049" t="s">
        <v>259</v>
      </c>
      <c r="C2049">
        <v>27037</v>
      </c>
      <c r="D2049" t="s">
        <v>273</v>
      </c>
      <c r="E2049" t="s">
        <v>287</v>
      </c>
      <c r="F2049" t="s">
        <v>297</v>
      </c>
      <c r="G2049" t="s">
        <v>294</v>
      </c>
      <c r="H2049">
        <v>943259.52978059195</v>
      </c>
      <c r="I2049" t="s">
        <v>295</v>
      </c>
      <c r="J2049" t="s">
        <v>296</v>
      </c>
      <c r="K2049">
        <v>435863</v>
      </c>
      <c r="L2049" t="s">
        <v>286</v>
      </c>
      <c r="M2049">
        <v>2.16</v>
      </c>
    </row>
    <row r="2050" spans="1:13" x14ac:dyDescent="0.25">
      <c r="A2050">
        <v>2021</v>
      </c>
      <c r="B2050" t="s">
        <v>259</v>
      </c>
      <c r="C2050">
        <v>27037</v>
      </c>
      <c r="D2050" t="s">
        <v>273</v>
      </c>
      <c r="E2050" t="s">
        <v>287</v>
      </c>
      <c r="F2050" t="s">
        <v>298</v>
      </c>
      <c r="G2050" t="s">
        <v>294</v>
      </c>
      <c r="H2050">
        <v>787195.675337333</v>
      </c>
      <c r="I2050" t="s">
        <v>295</v>
      </c>
      <c r="J2050" t="s">
        <v>296</v>
      </c>
      <c r="K2050">
        <v>435863</v>
      </c>
      <c r="L2050" t="s">
        <v>286</v>
      </c>
      <c r="M2050">
        <v>1.81</v>
      </c>
    </row>
    <row r="2051" spans="1:13" x14ac:dyDescent="0.25">
      <c r="A2051">
        <v>2021</v>
      </c>
      <c r="B2051" t="s">
        <v>259</v>
      </c>
      <c r="C2051">
        <v>27037</v>
      </c>
      <c r="D2051" t="s">
        <v>273</v>
      </c>
      <c r="E2051" t="s">
        <v>287</v>
      </c>
      <c r="F2051" t="s">
        <v>299</v>
      </c>
      <c r="G2051" t="s">
        <v>294</v>
      </c>
      <c r="H2051">
        <v>524214.69171359</v>
      </c>
      <c r="I2051" t="s">
        <v>295</v>
      </c>
      <c r="J2051" t="s">
        <v>296</v>
      </c>
      <c r="K2051">
        <v>435863</v>
      </c>
      <c r="L2051" t="s">
        <v>286</v>
      </c>
      <c r="M2051">
        <v>1.2</v>
      </c>
    </row>
    <row r="2052" spans="1:13" x14ac:dyDescent="0.25">
      <c r="A2052">
        <v>2021</v>
      </c>
      <c r="B2052" t="s">
        <v>259</v>
      </c>
      <c r="C2052">
        <v>27053</v>
      </c>
      <c r="D2052" t="s">
        <v>274</v>
      </c>
      <c r="E2052" t="s">
        <v>287</v>
      </c>
      <c r="F2052" t="s">
        <v>293</v>
      </c>
      <c r="G2052" t="s">
        <v>294</v>
      </c>
      <c r="H2052">
        <v>5367114.2596658897</v>
      </c>
      <c r="I2052" t="s">
        <v>295</v>
      </c>
      <c r="J2052" t="s">
        <v>296</v>
      </c>
      <c r="K2052">
        <v>1270283</v>
      </c>
      <c r="L2052" t="s">
        <v>286</v>
      </c>
      <c r="M2052">
        <v>4.2300000000000004</v>
      </c>
    </row>
    <row r="2053" spans="1:13" x14ac:dyDescent="0.25">
      <c r="A2053">
        <v>2021</v>
      </c>
      <c r="B2053" t="s">
        <v>259</v>
      </c>
      <c r="C2053">
        <v>27053</v>
      </c>
      <c r="D2053" t="s">
        <v>274</v>
      </c>
      <c r="E2053" t="s">
        <v>287</v>
      </c>
      <c r="F2053" t="s">
        <v>297</v>
      </c>
      <c r="G2053" t="s">
        <v>294</v>
      </c>
      <c r="H2053">
        <v>3334064.31012335</v>
      </c>
      <c r="I2053" t="s">
        <v>295</v>
      </c>
      <c r="J2053" t="s">
        <v>296</v>
      </c>
      <c r="K2053">
        <v>1270283</v>
      </c>
      <c r="L2053" t="s">
        <v>286</v>
      </c>
      <c r="M2053">
        <v>2.62</v>
      </c>
    </row>
    <row r="2054" spans="1:13" x14ac:dyDescent="0.25">
      <c r="A2054">
        <v>2021</v>
      </c>
      <c r="B2054" t="s">
        <v>259</v>
      </c>
      <c r="C2054">
        <v>27053</v>
      </c>
      <c r="D2054" t="s">
        <v>274</v>
      </c>
      <c r="E2054" t="s">
        <v>287</v>
      </c>
      <c r="F2054" t="s">
        <v>298</v>
      </c>
      <c r="G2054" t="s">
        <v>294</v>
      </c>
      <c r="H2054">
        <v>798699.69662736799</v>
      </c>
      <c r="I2054" t="s">
        <v>295</v>
      </c>
      <c r="J2054" t="s">
        <v>296</v>
      </c>
      <c r="K2054">
        <v>1270283</v>
      </c>
      <c r="L2054" t="s">
        <v>286</v>
      </c>
      <c r="M2054">
        <v>0.63</v>
      </c>
    </row>
    <row r="2055" spans="1:13" x14ac:dyDescent="0.25">
      <c r="A2055">
        <v>2021</v>
      </c>
      <c r="B2055" t="s">
        <v>259</v>
      </c>
      <c r="C2055">
        <v>27053</v>
      </c>
      <c r="D2055" t="s">
        <v>274</v>
      </c>
      <c r="E2055" t="s">
        <v>287</v>
      </c>
      <c r="F2055" t="s">
        <v>299</v>
      </c>
      <c r="G2055" t="s">
        <v>294</v>
      </c>
      <c r="H2055">
        <v>1234350.25291517</v>
      </c>
      <c r="I2055" t="s">
        <v>295</v>
      </c>
      <c r="J2055" t="s">
        <v>296</v>
      </c>
      <c r="K2055">
        <v>1270283</v>
      </c>
      <c r="L2055" t="s">
        <v>286</v>
      </c>
      <c r="M2055">
        <v>0.97</v>
      </c>
    </row>
    <row r="2056" spans="1:13" x14ac:dyDescent="0.25">
      <c r="A2056">
        <v>2021</v>
      </c>
      <c r="B2056" t="s">
        <v>259</v>
      </c>
      <c r="C2056">
        <v>27123</v>
      </c>
      <c r="D2056" t="s">
        <v>275</v>
      </c>
      <c r="E2056" t="s">
        <v>287</v>
      </c>
      <c r="F2056" t="s">
        <v>293</v>
      </c>
      <c r="G2056" t="s">
        <v>294</v>
      </c>
      <c r="H2056">
        <v>2158579.6506493501</v>
      </c>
      <c r="I2056" t="s">
        <v>295</v>
      </c>
      <c r="J2056" t="s">
        <v>296</v>
      </c>
      <c r="K2056">
        <v>549377</v>
      </c>
      <c r="L2056" t="s">
        <v>286</v>
      </c>
      <c r="M2056">
        <v>3.93</v>
      </c>
    </row>
    <row r="2057" spans="1:13" x14ac:dyDescent="0.25">
      <c r="A2057">
        <v>2021</v>
      </c>
      <c r="B2057" t="s">
        <v>259</v>
      </c>
      <c r="C2057">
        <v>27123</v>
      </c>
      <c r="D2057" t="s">
        <v>275</v>
      </c>
      <c r="E2057" t="s">
        <v>287</v>
      </c>
      <c r="F2057" t="s">
        <v>297</v>
      </c>
      <c r="G2057" t="s">
        <v>294</v>
      </c>
      <c r="H2057">
        <v>1127227.2944515799</v>
      </c>
      <c r="I2057" t="s">
        <v>295</v>
      </c>
      <c r="J2057" t="s">
        <v>296</v>
      </c>
      <c r="K2057">
        <v>549377</v>
      </c>
      <c r="L2057" t="s">
        <v>286</v>
      </c>
      <c r="M2057">
        <v>2.0499999999999998</v>
      </c>
    </row>
    <row r="2058" spans="1:13" x14ac:dyDescent="0.25">
      <c r="A2058">
        <v>2021</v>
      </c>
      <c r="B2058" t="s">
        <v>259</v>
      </c>
      <c r="C2058">
        <v>27123</v>
      </c>
      <c r="D2058" t="s">
        <v>275</v>
      </c>
      <c r="E2058" t="s">
        <v>287</v>
      </c>
      <c r="F2058" t="s">
        <v>298</v>
      </c>
      <c r="G2058" t="s">
        <v>294</v>
      </c>
      <c r="H2058">
        <v>534598.544112965</v>
      </c>
      <c r="I2058" t="s">
        <v>295</v>
      </c>
      <c r="J2058" t="s">
        <v>296</v>
      </c>
      <c r="K2058">
        <v>549377</v>
      </c>
      <c r="L2058" t="s">
        <v>286</v>
      </c>
      <c r="M2058">
        <v>0.97</v>
      </c>
    </row>
    <row r="2059" spans="1:13" x14ac:dyDescent="0.25">
      <c r="A2059">
        <v>2021</v>
      </c>
      <c r="B2059" t="s">
        <v>259</v>
      </c>
      <c r="C2059">
        <v>27123</v>
      </c>
      <c r="D2059" t="s">
        <v>275</v>
      </c>
      <c r="E2059" t="s">
        <v>287</v>
      </c>
      <c r="F2059" t="s">
        <v>299</v>
      </c>
      <c r="G2059" t="s">
        <v>294</v>
      </c>
      <c r="H2059">
        <v>496753.81208480499</v>
      </c>
      <c r="I2059" t="s">
        <v>295</v>
      </c>
      <c r="J2059" t="s">
        <v>296</v>
      </c>
      <c r="K2059">
        <v>549377</v>
      </c>
      <c r="L2059" t="s">
        <v>286</v>
      </c>
      <c r="M2059">
        <v>0.9</v>
      </c>
    </row>
    <row r="2060" spans="1:13" x14ac:dyDescent="0.25">
      <c r="A2060">
        <v>2021</v>
      </c>
      <c r="B2060" t="s">
        <v>259</v>
      </c>
      <c r="C2060">
        <v>27139</v>
      </c>
      <c r="D2060" t="s">
        <v>276</v>
      </c>
      <c r="E2060" t="s">
        <v>287</v>
      </c>
      <c r="F2060" t="s">
        <v>293</v>
      </c>
      <c r="G2060" t="s">
        <v>294</v>
      </c>
      <c r="H2060">
        <v>871949.29103940702</v>
      </c>
      <c r="I2060" t="s">
        <v>295</v>
      </c>
      <c r="J2060" t="s">
        <v>296</v>
      </c>
      <c r="K2060">
        <v>149568</v>
      </c>
      <c r="L2060" t="s">
        <v>286</v>
      </c>
      <c r="M2060">
        <v>5.83</v>
      </c>
    </row>
    <row r="2061" spans="1:13" x14ac:dyDescent="0.25">
      <c r="A2061">
        <v>2021</v>
      </c>
      <c r="B2061" t="s">
        <v>259</v>
      </c>
      <c r="C2061">
        <v>27139</v>
      </c>
      <c r="D2061" t="s">
        <v>276</v>
      </c>
      <c r="E2061" t="s">
        <v>287</v>
      </c>
      <c r="F2061" t="s">
        <v>297</v>
      </c>
      <c r="G2061" t="s">
        <v>294</v>
      </c>
      <c r="H2061">
        <v>387442.60009491799</v>
      </c>
      <c r="I2061" t="s">
        <v>295</v>
      </c>
      <c r="J2061" t="s">
        <v>296</v>
      </c>
      <c r="K2061">
        <v>149568</v>
      </c>
      <c r="L2061" t="s">
        <v>286</v>
      </c>
      <c r="M2061">
        <v>2.59</v>
      </c>
    </row>
    <row r="2062" spans="1:13" x14ac:dyDescent="0.25">
      <c r="A2062">
        <v>2021</v>
      </c>
      <c r="B2062" t="s">
        <v>259</v>
      </c>
      <c r="C2062">
        <v>27139</v>
      </c>
      <c r="D2062" t="s">
        <v>276</v>
      </c>
      <c r="E2062" t="s">
        <v>287</v>
      </c>
      <c r="F2062" t="s">
        <v>298</v>
      </c>
      <c r="G2062" t="s">
        <v>294</v>
      </c>
      <c r="H2062">
        <v>189227.45568515299</v>
      </c>
      <c r="I2062" t="s">
        <v>295</v>
      </c>
      <c r="J2062" t="s">
        <v>296</v>
      </c>
      <c r="K2062">
        <v>149568</v>
      </c>
      <c r="L2062" t="s">
        <v>286</v>
      </c>
      <c r="M2062">
        <v>1.27</v>
      </c>
    </row>
    <row r="2063" spans="1:13" x14ac:dyDescent="0.25">
      <c r="A2063">
        <v>2021</v>
      </c>
      <c r="B2063" t="s">
        <v>259</v>
      </c>
      <c r="C2063">
        <v>27139</v>
      </c>
      <c r="D2063" t="s">
        <v>276</v>
      </c>
      <c r="E2063" t="s">
        <v>287</v>
      </c>
      <c r="F2063" t="s">
        <v>299</v>
      </c>
      <c r="G2063" t="s">
        <v>294</v>
      </c>
      <c r="H2063">
        <v>295279.23525933601</v>
      </c>
      <c r="I2063" t="s">
        <v>295</v>
      </c>
      <c r="J2063" t="s">
        <v>296</v>
      </c>
      <c r="K2063">
        <v>149568</v>
      </c>
      <c r="L2063" t="s">
        <v>286</v>
      </c>
      <c r="M2063">
        <v>1.97</v>
      </c>
    </row>
    <row r="2064" spans="1:13" x14ac:dyDescent="0.25">
      <c r="A2064">
        <v>2021</v>
      </c>
      <c r="B2064" t="s">
        <v>259</v>
      </c>
      <c r="C2064">
        <v>27141</v>
      </c>
      <c r="D2064" t="s">
        <v>277</v>
      </c>
      <c r="E2064" t="s">
        <v>287</v>
      </c>
      <c r="F2064" t="s">
        <v>293</v>
      </c>
      <c r="G2064" t="s">
        <v>294</v>
      </c>
      <c r="H2064">
        <v>632309.38219217199</v>
      </c>
      <c r="I2064" t="s">
        <v>295</v>
      </c>
      <c r="J2064" t="s">
        <v>296</v>
      </c>
      <c r="K2064">
        <v>96295</v>
      </c>
      <c r="L2064" t="s">
        <v>286</v>
      </c>
      <c r="M2064">
        <v>6.57</v>
      </c>
    </row>
    <row r="2065" spans="1:13" x14ac:dyDescent="0.25">
      <c r="A2065">
        <v>2021</v>
      </c>
      <c r="B2065" t="s">
        <v>259</v>
      </c>
      <c r="C2065">
        <v>27141</v>
      </c>
      <c r="D2065" t="s">
        <v>277</v>
      </c>
      <c r="E2065" t="s">
        <v>287</v>
      </c>
      <c r="F2065" t="s">
        <v>297</v>
      </c>
      <c r="G2065" t="s">
        <v>294</v>
      </c>
      <c r="H2065">
        <v>209866.49418598501</v>
      </c>
      <c r="I2065" t="s">
        <v>295</v>
      </c>
      <c r="J2065" t="s">
        <v>296</v>
      </c>
      <c r="K2065">
        <v>96295</v>
      </c>
      <c r="L2065" t="s">
        <v>286</v>
      </c>
      <c r="M2065">
        <v>2.1800000000000002</v>
      </c>
    </row>
    <row r="2066" spans="1:13" x14ac:dyDescent="0.25">
      <c r="A2066">
        <v>2021</v>
      </c>
      <c r="B2066" t="s">
        <v>259</v>
      </c>
      <c r="C2066">
        <v>27141</v>
      </c>
      <c r="D2066" t="s">
        <v>277</v>
      </c>
      <c r="E2066" t="s">
        <v>287</v>
      </c>
      <c r="F2066" t="s">
        <v>298</v>
      </c>
      <c r="G2066" t="s">
        <v>294</v>
      </c>
      <c r="H2066">
        <v>149912.63031596399</v>
      </c>
      <c r="I2066" t="s">
        <v>295</v>
      </c>
      <c r="J2066" t="s">
        <v>296</v>
      </c>
      <c r="K2066">
        <v>96295</v>
      </c>
      <c r="L2066" t="s">
        <v>286</v>
      </c>
      <c r="M2066">
        <v>1.56</v>
      </c>
    </row>
    <row r="2067" spans="1:13" x14ac:dyDescent="0.25">
      <c r="A2067">
        <v>2021</v>
      </c>
      <c r="B2067" t="s">
        <v>259</v>
      </c>
      <c r="C2067">
        <v>27141</v>
      </c>
      <c r="D2067" t="s">
        <v>277</v>
      </c>
      <c r="E2067" t="s">
        <v>287</v>
      </c>
      <c r="F2067" t="s">
        <v>299</v>
      </c>
      <c r="G2067" t="s">
        <v>294</v>
      </c>
      <c r="H2067">
        <v>272530.25769022299</v>
      </c>
      <c r="I2067" t="s">
        <v>295</v>
      </c>
      <c r="J2067" t="s">
        <v>296</v>
      </c>
      <c r="K2067">
        <v>96295</v>
      </c>
      <c r="L2067" t="s">
        <v>286</v>
      </c>
      <c r="M2067">
        <v>2.83</v>
      </c>
    </row>
    <row r="2068" spans="1:13" x14ac:dyDescent="0.25">
      <c r="A2068">
        <v>2021</v>
      </c>
      <c r="B2068" t="s">
        <v>259</v>
      </c>
      <c r="C2068">
        <v>27163</v>
      </c>
      <c r="D2068" t="s">
        <v>278</v>
      </c>
      <c r="E2068" t="s">
        <v>287</v>
      </c>
      <c r="F2068" t="s">
        <v>293</v>
      </c>
      <c r="G2068" t="s">
        <v>294</v>
      </c>
      <c r="H2068">
        <v>1174925.81046155</v>
      </c>
      <c r="I2068" t="s">
        <v>295</v>
      </c>
      <c r="J2068" t="s">
        <v>296</v>
      </c>
      <c r="K2068">
        <v>264818</v>
      </c>
      <c r="L2068" t="s">
        <v>286</v>
      </c>
      <c r="M2068">
        <v>4.4400000000000004</v>
      </c>
    </row>
    <row r="2069" spans="1:13" x14ac:dyDescent="0.25">
      <c r="A2069">
        <v>2021</v>
      </c>
      <c r="B2069" t="s">
        <v>259</v>
      </c>
      <c r="C2069">
        <v>27163</v>
      </c>
      <c r="D2069" t="s">
        <v>278</v>
      </c>
      <c r="E2069" t="s">
        <v>287</v>
      </c>
      <c r="F2069" t="s">
        <v>297</v>
      </c>
      <c r="G2069" t="s">
        <v>294</v>
      </c>
      <c r="H2069">
        <v>394634.436797056</v>
      </c>
      <c r="I2069" t="s">
        <v>295</v>
      </c>
      <c r="J2069" t="s">
        <v>296</v>
      </c>
      <c r="K2069">
        <v>264818</v>
      </c>
      <c r="L2069" t="s">
        <v>286</v>
      </c>
      <c r="M2069">
        <v>1.49</v>
      </c>
    </row>
    <row r="2070" spans="1:13" x14ac:dyDescent="0.25">
      <c r="A2070">
        <v>2021</v>
      </c>
      <c r="B2070" t="s">
        <v>259</v>
      </c>
      <c r="C2070">
        <v>27163</v>
      </c>
      <c r="D2070" t="s">
        <v>278</v>
      </c>
      <c r="E2070" t="s">
        <v>287</v>
      </c>
      <c r="F2070" t="s">
        <v>298</v>
      </c>
      <c r="G2070" t="s">
        <v>294</v>
      </c>
      <c r="H2070">
        <v>422664.08107241301</v>
      </c>
      <c r="I2070" t="s">
        <v>295</v>
      </c>
      <c r="J2070" t="s">
        <v>296</v>
      </c>
      <c r="K2070">
        <v>264818</v>
      </c>
      <c r="L2070" t="s">
        <v>286</v>
      </c>
      <c r="M2070">
        <v>1.6</v>
      </c>
    </row>
    <row r="2071" spans="1:13" x14ac:dyDescent="0.25">
      <c r="A2071">
        <v>2021</v>
      </c>
      <c r="B2071" t="s">
        <v>259</v>
      </c>
      <c r="C2071">
        <v>27163</v>
      </c>
      <c r="D2071" t="s">
        <v>278</v>
      </c>
      <c r="E2071" t="s">
        <v>287</v>
      </c>
      <c r="F2071" t="s">
        <v>299</v>
      </c>
      <c r="G2071" t="s">
        <v>294</v>
      </c>
      <c r="H2071">
        <v>357627.29259208299</v>
      </c>
      <c r="I2071" t="s">
        <v>295</v>
      </c>
      <c r="J2071" t="s">
        <v>296</v>
      </c>
      <c r="K2071">
        <v>264818</v>
      </c>
      <c r="L2071" t="s">
        <v>286</v>
      </c>
      <c r="M2071">
        <v>1.35</v>
      </c>
    </row>
    <row r="2072" spans="1:13" x14ac:dyDescent="0.25">
      <c r="A2072">
        <v>2021</v>
      </c>
      <c r="B2072" t="s">
        <v>259</v>
      </c>
      <c r="C2072">
        <v>55093</v>
      </c>
      <c r="D2072" t="s">
        <v>279</v>
      </c>
      <c r="E2072" t="s">
        <v>287</v>
      </c>
      <c r="F2072" t="s">
        <v>293</v>
      </c>
      <c r="G2072" t="s">
        <v>294</v>
      </c>
      <c r="H2072">
        <v>177392.022093167</v>
      </c>
      <c r="I2072" t="s">
        <v>295</v>
      </c>
      <c r="J2072" t="s">
        <v>296</v>
      </c>
      <c r="K2072">
        <v>42204</v>
      </c>
      <c r="L2072" t="s">
        <v>286</v>
      </c>
      <c r="M2072">
        <v>4.2</v>
      </c>
    </row>
    <row r="2073" spans="1:13" x14ac:dyDescent="0.25">
      <c r="A2073">
        <v>2021</v>
      </c>
      <c r="B2073" t="s">
        <v>259</v>
      </c>
      <c r="C2073">
        <v>55093</v>
      </c>
      <c r="D2073" t="s">
        <v>279</v>
      </c>
      <c r="E2073" t="s">
        <v>287</v>
      </c>
      <c r="F2073" t="s">
        <v>297</v>
      </c>
      <c r="G2073" t="s">
        <v>294</v>
      </c>
      <c r="H2073">
        <v>50222.338948240998</v>
      </c>
      <c r="I2073" t="s">
        <v>295</v>
      </c>
      <c r="J2073" t="s">
        <v>296</v>
      </c>
      <c r="K2073">
        <v>42204</v>
      </c>
      <c r="L2073" t="s">
        <v>286</v>
      </c>
      <c r="M2073">
        <v>1.19</v>
      </c>
    </row>
    <row r="2074" spans="1:13" x14ac:dyDescent="0.25">
      <c r="A2074">
        <v>2021</v>
      </c>
      <c r="B2074" t="s">
        <v>259</v>
      </c>
      <c r="C2074">
        <v>55093</v>
      </c>
      <c r="D2074" t="s">
        <v>279</v>
      </c>
      <c r="E2074" t="s">
        <v>287</v>
      </c>
      <c r="F2074" t="s">
        <v>298</v>
      </c>
      <c r="G2074" t="s">
        <v>294</v>
      </c>
      <c r="H2074">
        <v>45339.458279415201</v>
      </c>
      <c r="I2074" t="s">
        <v>295</v>
      </c>
      <c r="J2074" t="s">
        <v>296</v>
      </c>
      <c r="K2074">
        <v>42204</v>
      </c>
      <c r="L2074" t="s">
        <v>286</v>
      </c>
      <c r="M2074">
        <v>1.07</v>
      </c>
    </row>
    <row r="2075" spans="1:13" x14ac:dyDescent="0.25">
      <c r="A2075">
        <v>2021</v>
      </c>
      <c r="B2075" t="s">
        <v>259</v>
      </c>
      <c r="C2075">
        <v>55093</v>
      </c>
      <c r="D2075" t="s">
        <v>279</v>
      </c>
      <c r="E2075" t="s">
        <v>287</v>
      </c>
      <c r="F2075" t="s">
        <v>299</v>
      </c>
      <c r="G2075" t="s">
        <v>294</v>
      </c>
      <c r="H2075">
        <v>81830.224865510798</v>
      </c>
      <c r="I2075" t="s">
        <v>295</v>
      </c>
      <c r="J2075" t="s">
        <v>296</v>
      </c>
      <c r="K2075">
        <v>42204</v>
      </c>
      <c r="L2075" t="s">
        <v>286</v>
      </c>
      <c r="M2075">
        <v>1.94</v>
      </c>
    </row>
    <row r="2076" spans="1:13" x14ac:dyDescent="0.25">
      <c r="A2076">
        <v>2021</v>
      </c>
      <c r="B2076" t="s">
        <v>259</v>
      </c>
      <c r="C2076">
        <v>55109</v>
      </c>
      <c r="D2076" t="s">
        <v>280</v>
      </c>
      <c r="E2076" t="s">
        <v>287</v>
      </c>
      <c r="F2076" t="s">
        <v>293</v>
      </c>
      <c r="G2076" t="s">
        <v>294</v>
      </c>
      <c r="H2076">
        <v>453105.73459609802</v>
      </c>
      <c r="I2076" t="s">
        <v>295</v>
      </c>
      <c r="J2076" t="s">
        <v>296</v>
      </c>
      <c r="K2076">
        <v>92495</v>
      </c>
      <c r="L2076" t="s">
        <v>286</v>
      </c>
      <c r="M2076">
        <v>4.9000000000000004</v>
      </c>
    </row>
    <row r="2077" spans="1:13" x14ac:dyDescent="0.25">
      <c r="A2077">
        <v>2021</v>
      </c>
      <c r="B2077" t="s">
        <v>259</v>
      </c>
      <c r="C2077">
        <v>55109</v>
      </c>
      <c r="D2077" t="s">
        <v>280</v>
      </c>
      <c r="E2077" t="s">
        <v>287</v>
      </c>
      <c r="F2077" t="s">
        <v>297</v>
      </c>
      <c r="G2077" t="s">
        <v>294</v>
      </c>
      <c r="H2077">
        <v>173920.55189524399</v>
      </c>
      <c r="I2077" t="s">
        <v>295</v>
      </c>
      <c r="J2077" t="s">
        <v>296</v>
      </c>
      <c r="K2077">
        <v>92495</v>
      </c>
      <c r="L2077" t="s">
        <v>286</v>
      </c>
      <c r="M2077">
        <v>1.88</v>
      </c>
    </row>
    <row r="2078" spans="1:13" x14ac:dyDescent="0.25">
      <c r="A2078">
        <v>2021</v>
      </c>
      <c r="B2078" t="s">
        <v>259</v>
      </c>
      <c r="C2078">
        <v>55109</v>
      </c>
      <c r="D2078" t="s">
        <v>280</v>
      </c>
      <c r="E2078" t="s">
        <v>287</v>
      </c>
      <c r="F2078" t="s">
        <v>298</v>
      </c>
      <c r="G2078" t="s">
        <v>294</v>
      </c>
      <c r="H2078">
        <v>122725.009453515</v>
      </c>
      <c r="I2078" t="s">
        <v>295</v>
      </c>
      <c r="J2078" t="s">
        <v>296</v>
      </c>
      <c r="K2078">
        <v>92495</v>
      </c>
      <c r="L2078" t="s">
        <v>286</v>
      </c>
      <c r="M2078">
        <v>1.33</v>
      </c>
    </row>
    <row r="2079" spans="1:13" x14ac:dyDescent="0.25">
      <c r="A2079">
        <v>2021</v>
      </c>
      <c r="B2079" t="s">
        <v>259</v>
      </c>
      <c r="C2079">
        <v>55109</v>
      </c>
      <c r="D2079" t="s">
        <v>280</v>
      </c>
      <c r="E2079" t="s">
        <v>287</v>
      </c>
      <c r="F2079" t="s">
        <v>299</v>
      </c>
      <c r="G2079" t="s">
        <v>294</v>
      </c>
      <c r="H2079">
        <v>156460.173247339</v>
      </c>
      <c r="I2079" t="s">
        <v>295</v>
      </c>
      <c r="J2079" t="s">
        <v>296</v>
      </c>
      <c r="K2079">
        <v>92495</v>
      </c>
      <c r="L2079" t="s">
        <v>286</v>
      </c>
      <c r="M2079">
        <v>1.69</v>
      </c>
    </row>
    <row r="2080" spans="1:13" x14ac:dyDescent="0.25">
      <c r="A2080">
        <v>2005</v>
      </c>
      <c r="B2080" t="s">
        <v>259</v>
      </c>
      <c r="C2080">
        <v>27003</v>
      </c>
      <c r="D2080" t="s">
        <v>260</v>
      </c>
      <c r="E2080" t="s">
        <v>287</v>
      </c>
      <c r="F2080" t="s">
        <v>293</v>
      </c>
      <c r="G2080" t="s">
        <v>300</v>
      </c>
      <c r="H2080">
        <v>1252245.5646381599</v>
      </c>
      <c r="I2080" t="s">
        <v>301</v>
      </c>
      <c r="J2080" t="s">
        <v>291</v>
      </c>
      <c r="K2080">
        <v>319830</v>
      </c>
      <c r="L2080" t="s">
        <v>266</v>
      </c>
      <c r="M2080">
        <v>3.92</v>
      </c>
    </row>
    <row r="2081" spans="1:13" x14ac:dyDescent="0.25">
      <c r="A2081">
        <v>2005</v>
      </c>
      <c r="B2081" t="s">
        <v>259</v>
      </c>
      <c r="C2081">
        <v>27003</v>
      </c>
      <c r="D2081" t="s">
        <v>260</v>
      </c>
      <c r="E2081" t="s">
        <v>287</v>
      </c>
      <c r="F2081" t="s">
        <v>297</v>
      </c>
      <c r="G2081" t="s">
        <v>300</v>
      </c>
      <c r="H2081" t="s">
        <v>10</v>
      </c>
      <c r="I2081" t="s">
        <v>301</v>
      </c>
      <c r="J2081" t="s">
        <v>291</v>
      </c>
      <c r="K2081">
        <v>319830</v>
      </c>
      <c r="L2081" t="s">
        <v>266</v>
      </c>
      <c r="M2081" t="s">
        <v>10</v>
      </c>
    </row>
    <row r="2082" spans="1:13" x14ac:dyDescent="0.25">
      <c r="A2082">
        <v>2005</v>
      </c>
      <c r="B2082" t="s">
        <v>259</v>
      </c>
      <c r="C2082">
        <v>27003</v>
      </c>
      <c r="D2082" t="s">
        <v>260</v>
      </c>
      <c r="E2082" t="s">
        <v>287</v>
      </c>
      <c r="F2082" t="s">
        <v>298</v>
      </c>
      <c r="G2082" t="s">
        <v>300</v>
      </c>
      <c r="H2082" t="s">
        <v>10</v>
      </c>
      <c r="I2082" t="s">
        <v>301</v>
      </c>
      <c r="J2082" t="s">
        <v>291</v>
      </c>
      <c r="K2082">
        <v>319830</v>
      </c>
      <c r="L2082" t="s">
        <v>266</v>
      </c>
      <c r="M2082" t="s">
        <v>10</v>
      </c>
    </row>
    <row r="2083" spans="1:13" x14ac:dyDescent="0.25">
      <c r="A2083">
        <v>2005</v>
      </c>
      <c r="B2083" t="s">
        <v>259</v>
      </c>
      <c r="C2083">
        <v>27003</v>
      </c>
      <c r="D2083" t="s">
        <v>260</v>
      </c>
      <c r="E2083" t="s">
        <v>287</v>
      </c>
      <c r="F2083" t="s">
        <v>299</v>
      </c>
      <c r="G2083" t="s">
        <v>300</v>
      </c>
      <c r="H2083" t="s">
        <v>10</v>
      </c>
      <c r="I2083" t="s">
        <v>301</v>
      </c>
      <c r="J2083" t="s">
        <v>291</v>
      </c>
      <c r="K2083">
        <v>319830</v>
      </c>
      <c r="L2083" t="s">
        <v>266</v>
      </c>
      <c r="M2083" t="s">
        <v>10</v>
      </c>
    </row>
    <row r="2084" spans="1:13" x14ac:dyDescent="0.25">
      <c r="A2084">
        <v>2005</v>
      </c>
      <c r="B2084" t="s">
        <v>259</v>
      </c>
      <c r="C2084">
        <v>27019</v>
      </c>
      <c r="D2084" t="s">
        <v>271</v>
      </c>
      <c r="E2084" t="s">
        <v>287</v>
      </c>
      <c r="F2084" t="s">
        <v>293</v>
      </c>
      <c r="G2084" t="s">
        <v>300</v>
      </c>
      <c r="H2084">
        <v>325983.995312021</v>
      </c>
      <c r="I2084" t="s">
        <v>301</v>
      </c>
      <c r="J2084" t="s">
        <v>291</v>
      </c>
      <c r="K2084">
        <v>83258</v>
      </c>
      <c r="L2084" t="s">
        <v>266</v>
      </c>
      <c r="M2084">
        <v>3.92</v>
      </c>
    </row>
    <row r="2085" spans="1:13" x14ac:dyDescent="0.25">
      <c r="A2085">
        <v>2005</v>
      </c>
      <c r="B2085" t="s">
        <v>259</v>
      </c>
      <c r="C2085">
        <v>27019</v>
      </c>
      <c r="D2085" t="s">
        <v>271</v>
      </c>
      <c r="E2085" t="s">
        <v>287</v>
      </c>
      <c r="F2085" t="s">
        <v>297</v>
      </c>
      <c r="G2085" t="s">
        <v>300</v>
      </c>
      <c r="H2085" t="s">
        <v>10</v>
      </c>
      <c r="I2085" t="s">
        <v>301</v>
      </c>
      <c r="J2085" t="s">
        <v>291</v>
      </c>
      <c r="K2085">
        <v>83258</v>
      </c>
      <c r="L2085" t="s">
        <v>266</v>
      </c>
      <c r="M2085" t="s">
        <v>10</v>
      </c>
    </row>
    <row r="2086" spans="1:13" x14ac:dyDescent="0.25">
      <c r="A2086">
        <v>2005</v>
      </c>
      <c r="B2086" t="s">
        <v>259</v>
      </c>
      <c r="C2086">
        <v>27019</v>
      </c>
      <c r="D2086" t="s">
        <v>271</v>
      </c>
      <c r="E2086" t="s">
        <v>287</v>
      </c>
      <c r="F2086" t="s">
        <v>298</v>
      </c>
      <c r="G2086" t="s">
        <v>300</v>
      </c>
      <c r="H2086" t="s">
        <v>10</v>
      </c>
      <c r="I2086" t="s">
        <v>301</v>
      </c>
      <c r="J2086" t="s">
        <v>291</v>
      </c>
      <c r="K2086">
        <v>83258</v>
      </c>
      <c r="L2086" t="s">
        <v>266</v>
      </c>
      <c r="M2086" t="s">
        <v>10</v>
      </c>
    </row>
    <row r="2087" spans="1:13" x14ac:dyDescent="0.25">
      <c r="A2087">
        <v>2005</v>
      </c>
      <c r="B2087" t="s">
        <v>259</v>
      </c>
      <c r="C2087">
        <v>27019</v>
      </c>
      <c r="D2087" t="s">
        <v>271</v>
      </c>
      <c r="E2087" t="s">
        <v>287</v>
      </c>
      <c r="F2087" t="s">
        <v>299</v>
      </c>
      <c r="G2087" t="s">
        <v>300</v>
      </c>
      <c r="H2087" t="s">
        <v>10</v>
      </c>
      <c r="I2087" t="s">
        <v>301</v>
      </c>
      <c r="J2087" t="s">
        <v>291</v>
      </c>
      <c r="K2087">
        <v>83258</v>
      </c>
      <c r="L2087" t="s">
        <v>266</v>
      </c>
      <c r="M2087" t="s">
        <v>10</v>
      </c>
    </row>
    <row r="2088" spans="1:13" x14ac:dyDescent="0.25">
      <c r="A2088">
        <v>2005</v>
      </c>
      <c r="B2088" t="s">
        <v>259</v>
      </c>
      <c r="C2088">
        <v>27025</v>
      </c>
      <c r="D2088" t="s">
        <v>272</v>
      </c>
      <c r="E2088" t="s">
        <v>287</v>
      </c>
      <c r="F2088" t="s">
        <v>293</v>
      </c>
      <c r="G2088" t="s">
        <v>300</v>
      </c>
      <c r="H2088">
        <v>196875.414209738</v>
      </c>
      <c r="I2088" t="s">
        <v>301</v>
      </c>
      <c r="J2088" t="s">
        <v>291</v>
      </c>
      <c r="K2088">
        <v>50283</v>
      </c>
      <c r="L2088" t="s">
        <v>266</v>
      </c>
      <c r="M2088">
        <v>3.92</v>
      </c>
    </row>
    <row r="2089" spans="1:13" x14ac:dyDescent="0.25">
      <c r="A2089">
        <v>2005</v>
      </c>
      <c r="B2089" t="s">
        <v>259</v>
      </c>
      <c r="C2089">
        <v>27025</v>
      </c>
      <c r="D2089" t="s">
        <v>272</v>
      </c>
      <c r="E2089" t="s">
        <v>287</v>
      </c>
      <c r="F2089" t="s">
        <v>297</v>
      </c>
      <c r="G2089" t="s">
        <v>300</v>
      </c>
      <c r="H2089" t="s">
        <v>10</v>
      </c>
      <c r="I2089" t="s">
        <v>301</v>
      </c>
      <c r="J2089" t="s">
        <v>291</v>
      </c>
      <c r="K2089">
        <v>50283</v>
      </c>
      <c r="L2089" t="s">
        <v>266</v>
      </c>
      <c r="M2089" t="s">
        <v>10</v>
      </c>
    </row>
    <row r="2090" spans="1:13" x14ac:dyDescent="0.25">
      <c r="A2090">
        <v>2005</v>
      </c>
      <c r="B2090" t="s">
        <v>259</v>
      </c>
      <c r="C2090">
        <v>27025</v>
      </c>
      <c r="D2090" t="s">
        <v>272</v>
      </c>
      <c r="E2090" t="s">
        <v>287</v>
      </c>
      <c r="F2090" t="s">
        <v>298</v>
      </c>
      <c r="G2090" t="s">
        <v>300</v>
      </c>
      <c r="H2090" t="s">
        <v>10</v>
      </c>
      <c r="I2090" t="s">
        <v>301</v>
      </c>
      <c r="J2090" t="s">
        <v>291</v>
      </c>
      <c r="K2090">
        <v>50283</v>
      </c>
      <c r="L2090" t="s">
        <v>266</v>
      </c>
      <c r="M2090" t="s">
        <v>10</v>
      </c>
    </row>
    <row r="2091" spans="1:13" x14ac:dyDescent="0.25">
      <c r="A2091">
        <v>2005</v>
      </c>
      <c r="B2091" t="s">
        <v>259</v>
      </c>
      <c r="C2091">
        <v>27025</v>
      </c>
      <c r="D2091" t="s">
        <v>272</v>
      </c>
      <c r="E2091" t="s">
        <v>287</v>
      </c>
      <c r="F2091" t="s">
        <v>299</v>
      </c>
      <c r="G2091" t="s">
        <v>300</v>
      </c>
      <c r="H2091" t="s">
        <v>10</v>
      </c>
      <c r="I2091" t="s">
        <v>301</v>
      </c>
      <c r="J2091" t="s">
        <v>291</v>
      </c>
      <c r="K2091">
        <v>50283</v>
      </c>
      <c r="L2091" t="s">
        <v>266</v>
      </c>
      <c r="M2091" t="s">
        <v>10</v>
      </c>
    </row>
    <row r="2092" spans="1:13" x14ac:dyDescent="0.25">
      <c r="A2092">
        <v>2005</v>
      </c>
      <c r="B2092" t="s">
        <v>259</v>
      </c>
      <c r="C2092">
        <v>27037</v>
      </c>
      <c r="D2092" t="s">
        <v>273</v>
      </c>
      <c r="E2092" t="s">
        <v>287</v>
      </c>
      <c r="F2092" t="s">
        <v>293</v>
      </c>
      <c r="G2092" t="s">
        <v>300</v>
      </c>
      <c r="H2092">
        <v>1494993.1891949601</v>
      </c>
      <c r="I2092" t="s">
        <v>301</v>
      </c>
      <c r="J2092" t="s">
        <v>291</v>
      </c>
      <c r="K2092">
        <v>381829</v>
      </c>
      <c r="L2092" t="s">
        <v>266</v>
      </c>
      <c r="M2092">
        <v>3.92</v>
      </c>
    </row>
    <row r="2093" spans="1:13" x14ac:dyDescent="0.25">
      <c r="A2093">
        <v>2005</v>
      </c>
      <c r="B2093" t="s">
        <v>259</v>
      </c>
      <c r="C2093">
        <v>27037</v>
      </c>
      <c r="D2093" t="s">
        <v>273</v>
      </c>
      <c r="E2093" t="s">
        <v>287</v>
      </c>
      <c r="F2093" t="s">
        <v>297</v>
      </c>
      <c r="G2093" t="s">
        <v>300</v>
      </c>
      <c r="H2093" t="s">
        <v>10</v>
      </c>
      <c r="I2093" t="s">
        <v>301</v>
      </c>
      <c r="J2093" t="s">
        <v>291</v>
      </c>
      <c r="K2093">
        <v>381829</v>
      </c>
      <c r="L2093" t="s">
        <v>266</v>
      </c>
      <c r="M2093" t="s">
        <v>10</v>
      </c>
    </row>
    <row r="2094" spans="1:13" x14ac:dyDescent="0.25">
      <c r="A2094">
        <v>2005</v>
      </c>
      <c r="B2094" t="s">
        <v>259</v>
      </c>
      <c r="C2094">
        <v>27037</v>
      </c>
      <c r="D2094" t="s">
        <v>273</v>
      </c>
      <c r="E2094" t="s">
        <v>287</v>
      </c>
      <c r="F2094" t="s">
        <v>298</v>
      </c>
      <c r="G2094" t="s">
        <v>300</v>
      </c>
      <c r="H2094" t="s">
        <v>10</v>
      </c>
      <c r="I2094" t="s">
        <v>301</v>
      </c>
      <c r="J2094" t="s">
        <v>291</v>
      </c>
      <c r="K2094">
        <v>381829</v>
      </c>
      <c r="L2094" t="s">
        <v>266</v>
      </c>
      <c r="M2094" t="s">
        <v>10</v>
      </c>
    </row>
    <row r="2095" spans="1:13" x14ac:dyDescent="0.25">
      <c r="A2095">
        <v>2005</v>
      </c>
      <c r="B2095" t="s">
        <v>259</v>
      </c>
      <c r="C2095">
        <v>27037</v>
      </c>
      <c r="D2095" t="s">
        <v>273</v>
      </c>
      <c r="E2095" t="s">
        <v>287</v>
      </c>
      <c r="F2095" t="s">
        <v>299</v>
      </c>
      <c r="G2095" t="s">
        <v>300</v>
      </c>
      <c r="H2095" t="s">
        <v>10</v>
      </c>
      <c r="I2095" t="s">
        <v>301</v>
      </c>
      <c r="J2095" t="s">
        <v>291</v>
      </c>
      <c r="K2095">
        <v>381829</v>
      </c>
      <c r="L2095" t="s">
        <v>266</v>
      </c>
      <c r="M2095" t="s">
        <v>10</v>
      </c>
    </row>
    <row r="2096" spans="1:13" x14ac:dyDescent="0.25">
      <c r="A2096">
        <v>2005</v>
      </c>
      <c r="B2096" t="s">
        <v>259</v>
      </c>
      <c r="C2096">
        <v>27053</v>
      </c>
      <c r="D2096" t="s">
        <v>274</v>
      </c>
      <c r="E2096" t="s">
        <v>287</v>
      </c>
      <c r="F2096" t="s">
        <v>293</v>
      </c>
      <c r="G2096" t="s">
        <v>300</v>
      </c>
      <c r="H2096">
        <v>4373501.79590498</v>
      </c>
      <c r="I2096" t="s">
        <v>301</v>
      </c>
      <c r="J2096" t="s">
        <v>291</v>
      </c>
      <c r="K2096">
        <v>1117015</v>
      </c>
      <c r="L2096" t="s">
        <v>266</v>
      </c>
      <c r="M2096">
        <v>3.92</v>
      </c>
    </row>
    <row r="2097" spans="1:13" x14ac:dyDescent="0.25">
      <c r="A2097">
        <v>2005</v>
      </c>
      <c r="B2097" t="s">
        <v>259</v>
      </c>
      <c r="C2097">
        <v>27053</v>
      </c>
      <c r="D2097" t="s">
        <v>274</v>
      </c>
      <c r="E2097" t="s">
        <v>287</v>
      </c>
      <c r="F2097" t="s">
        <v>297</v>
      </c>
      <c r="G2097" t="s">
        <v>300</v>
      </c>
      <c r="H2097" t="s">
        <v>10</v>
      </c>
      <c r="I2097" t="s">
        <v>301</v>
      </c>
      <c r="J2097" t="s">
        <v>291</v>
      </c>
      <c r="K2097">
        <v>1117015</v>
      </c>
      <c r="L2097" t="s">
        <v>266</v>
      </c>
      <c r="M2097" t="s">
        <v>10</v>
      </c>
    </row>
    <row r="2098" spans="1:13" x14ac:dyDescent="0.25">
      <c r="A2098">
        <v>2005</v>
      </c>
      <c r="B2098" t="s">
        <v>259</v>
      </c>
      <c r="C2098">
        <v>27053</v>
      </c>
      <c r="D2098" t="s">
        <v>274</v>
      </c>
      <c r="E2098" t="s">
        <v>287</v>
      </c>
      <c r="F2098" t="s">
        <v>298</v>
      </c>
      <c r="G2098" t="s">
        <v>300</v>
      </c>
      <c r="H2098" t="s">
        <v>10</v>
      </c>
      <c r="I2098" t="s">
        <v>301</v>
      </c>
      <c r="J2098" t="s">
        <v>291</v>
      </c>
      <c r="K2098">
        <v>1117015</v>
      </c>
      <c r="L2098" t="s">
        <v>266</v>
      </c>
      <c r="M2098" t="s">
        <v>10</v>
      </c>
    </row>
    <row r="2099" spans="1:13" x14ac:dyDescent="0.25">
      <c r="A2099">
        <v>2005</v>
      </c>
      <c r="B2099" t="s">
        <v>259</v>
      </c>
      <c r="C2099">
        <v>27053</v>
      </c>
      <c r="D2099" t="s">
        <v>274</v>
      </c>
      <c r="E2099" t="s">
        <v>287</v>
      </c>
      <c r="F2099" t="s">
        <v>299</v>
      </c>
      <c r="G2099" t="s">
        <v>300</v>
      </c>
      <c r="H2099" t="s">
        <v>10</v>
      </c>
      <c r="I2099" t="s">
        <v>301</v>
      </c>
      <c r="J2099" t="s">
        <v>291</v>
      </c>
      <c r="K2099">
        <v>1117015</v>
      </c>
      <c r="L2099" t="s">
        <v>266</v>
      </c>
      <c r="M2099" t="s">
        <v>10</v>
      </c>
    </row>
    <row r="2100" spans="1:13" x14ac:dyDescent="0.25">
      <c r="A2100">
        <v>2005</v>
      </c>
      <c r="B2100" t="s">
        <v>259</v>
      </c>
      <c r="C2100">
        <v>27123</v>
      </c>
      <c r="D2100" t="s">
        <v>275</v>
      </c>
      <c r="E2100" t="s">
        <v>287</v>
      </c>
      <c r="F2100" t="s">
        <v>293</v>
      </c>
      <c r="G2100" t="s">
        <v>300</v>
      </c>
      <c r="H2100">
        <v>1948120.26120552</v>
      </c>
      <c r="I2100" t="s">
        <v>301</v>
      </c>
      <c r="J2100" t="s">
        <v>291</v>
      </c>
      <c r="K2100">
        <v>497560</v>
      </c>
      <c r="L2100" t="s">
        <v>266</v>
      </c>
      <c r="M2100">
        <v>3.92</v>
      </c>
    </row>
    <row r="2101" spans="1:13" x14ac:dyDescent="0.25">
      <c r="A2101">
        <v>2005</v>
      </c>
      <c r="B2101" t="s">
        <v>259</v>
      </c>
      <c r="C2101">
        <v>27123</v>
      </c>
      <c r="D2101" t="s">
        <v>275</v>
      </c>
      <c r="E2101" t="s">
        <v>287</v>
      </c>
      <c r="F2101" t="s">
        <v>297</v>
      </c>
      <c r="G2101" t="s">
        <v>300</v>
      </c>
      <c r="H2101" t="s">
        <v>10</v>
      </c>
      <c r="I2101" t="s">
        <v>301</v>
      </c>
      <c r="J2101" t="s">
        <v>291</v>
      </c>
      <c r="K2101">
        <v>497560</v>
      </c>
      <c r="L2101" t="s">
        <v>266</v>
      </c>
      <c r="M2101" t="s">
        <v>10</v>
      </c>
    </row>
    <row r="2102" spans="1:13" x14ac:dyDescent="0.25">
      <c r="A2102">
        <v>2005</v>
      </c>
      <c r="B2102" t="s">
        <v>259</v>
      </c>
      <c r="C2102">
        <v>27123</v>
      </c>
      <c r="D2102" t="s">
        <v>275</v>
      </c>
      <c r="E2102" t="s">
        <v>287</v>
      </c>
      <c r="F2102" t="s">
        <v>298</v>
      </c>
      <c r="G2102" t="s">
        <v>300</v>
      </c>
      <c r="H2102" t="s">
        <v>10</v>
      </c>
      <c r="I2102" t="s">
        <v>301</v>
      </c>
      <c r="J2102" t="s">
        <v>291</v>
      </c>
      <c r="K2102">
        <v>497560</v>
      </c>
      <c r="L2102" t="s">
        <v>266</v>
      </c>
      <c r="M2102" t="s">
        <v>10</v>
      </c>
    </row>
    <row r="2103" spans="1:13" x14ac:dyDescent="0.25">
      <c r="A2103">
        <v>2005</v>
      </c>
      <c r="B2103" t="s">
        <v>259</v>
      </c>
      <c r="C2103">
        <v>27123</v>
      </c>
      <c r="D2103" t="s">
        <v>275</v>
      </c>
      <c r="E2103" t="s">
        <v>287</v>
      </c>
      <c r="F2103" t="s">
        <v>299</v>
      </c>
      <c r="G2103" t="s">
        <v>300</v>
      </c>
      <c r="H2103" t="s">
        <v>10</v>
      </c>
      <c r="I2103" t="s">
        <v>301</v>
      </c>
      <c r="J2103" t="s">
        <v>291</v>
      </c>
      <c r="K2103">
        <v>497560</v>
      </c>
      <c r="L2103" t="s">
        <v>266</v>
      </c>
      <c r="M2103" t="s">
        <v>10</v>
      </c>
    </row>
    <row r="2104" spans="1:13" x14ac:dyDescent="0.25">
      <c r="A2104">
        <v>2005</v>
      </c>
      <c r="B2104" t="s">
        <v>259</v>
      </c>
      <c r="C2104">
        <v>27139</v>
      </c>
      <c r="D2104" t="s">
        <v>276</v>
      </c>
      <c r="E2104" t="s">
        <v>287</v>
      </c>
      <c r="F2104" t="s">
        <v>293</v>
      </c>
      <c r="G2104" t="s">
        <v>300</v>
      </c>
      <c r="H2104">
        <v>458530.251447141</v>
      </c>
      <c r="I2104" t="s">
        <v>301</v>
      </c>
      <c r="J2104" t="s">
        <v>291</v>
      </c>
      <c r="K2104">
        <v>117111</v>
      </c>
      <c r="L2104" t="s">
        <v>266</v>
      </c>
      <c r="M2104">
        <v>3.92</v>
      </c>
    </row>
    <row r="2105" spans="1:13" x14ac:dyDescent="0.25">
      <c r="A2105">
        <v>2005</v>
      </c>
      <c r="B2105" t="s">
        <v>259</v>
      </c>
      <c r="C2105">
        <v>27139</v>
      </c>
      <c r="D2105" t="s">
        <v>276</v>
      </c>
      <c r="E2105" t="s">
        <v>287</v>
      </c>
      <c r="F2105" t="s">
        <v>297</v>
      </c>
      <c r="G2105" t="s">
        <v>300</v>
      </c>
      <c r="H2105" t="s">
        <v>10</v>
      </c>
      <c r="I2105" t="s">
        <v>301</v>
      </c>
      <c r="J2105" t="s">
        <v>291</v>
      </c>
      <c r="K2105">
        <v>117111</v>
      </c>
      <c r="L2105" t="s">
        <v>266</v>
      </c>
      <c r="M2105" t="s">
        <v>10</v>
      </c>
    </row>
    <row r="2106" spans="1:13" x14ac:dyDescent="0.25">
      <c r="A2106">
        <v>2005</v>
      </c>
      <c r="B2106" t="s">
        <v>259</v>
      </c>
      <c r="C2106">
        <v>27139</v>
      </c>
      <c r="D2106" t="s">
        <v>276</v>
      </c>
      <c r="E2106" t="s">
        <v>287</v>
      </c>
      <c r="F2106" t="s">
        <v>298</v>
      </c>
      <c r="G2106" t="s">
        <v>300</v>
      </c>
      <c r="H2106" t="s">
        <v>10</v>
      </c>
      <c r="I2106" t="s">
        <v>301</v>
      </c>
      <c r="J2106" t="s">
        <v>291</v>
      </c>
      <c r="K2106">
        <v>117111</v>
      </c>
      <c r="L2106" t="s">
        <v>266</v>
      </c>
      <c r="M2106" t="s">
        <v>10</v>
      </c>
    </row>
    <row r="2107" spans="1:13" x14ac:dyDescent="0.25">
      <c r="A2107">
        <v>2005</v>
      </c>
      <c r="B2107" t="s">
        <v>259</v>
      </c>
      <c r="C2107">
        <v>27139</v>
      </c>
      <c r="D2107" t="s">
        <v>276</v>
      </c>
      <c r="E2107" t="s">
        <v>287</v>
      </c>
      <c r="F2107" t="s">
        <v>299</v>
      </c>
      <c r="G2107" t="s">
        <v>300</v>
      </c>
      <c r="H2107" t="s">
        <v>10</v>
      </c>
      <c r="I2107" t="s">
        <v>301</v>
      </c>
      <c r="J2107" t="s">
        <v>291</v>
      </c>
      <c r="K2107">
        <v>117111</v>
      </c>
      <c r="L2107" t="s">
        <v>266</v>
      </c>
      <c r="M2107" t="s">
        <v>10</v>
      </c>
    </row>
    <row r="2108" spans="1:13" x14ac:dyDescent="0.25">
      <c r="A2108">
        <v>2005</v>
      </c>
      <c r="B2108" t="s">
        <v>259</v>
      </c>
      <c r="C2108">
        <v>27141</v>
      </c>
      <c r="D2108" t="s">
        <v>277</v>
      </c>
      <c r="E2108" t="s">
        <v>287</v>
      </c>
      <c r="F2108" t="s">
        <v>293</v>
      </c>
      <c r="G2108" t="s">
        <v>300</v>
      </c>
      <c r="H2108">
        <v>317843.98803039402</v>
      </c>
      <c r="I2108" t="s">
        <v>301</v>
      </c>
      <c r="J2108" t="s">
        <v>291</v>
      </c>
      <c r="K2108">
        <v>81179</v>
      </c>
      <c r="L2108" t="s">
        <v>266</v>
      </c>
      <c r="M2108">
        <v>3.92</v>
      </c>
    </row>
    <row r="2109" spans="1:13" x14ac:dyDescent="0.25">
      <c r="A2109">
        <v>2005</v>
      </c>
      <c r="B2109" t="s">
        <v>259</v>
      </c>
      <c r="C2109">
        <v>27141</v>
      </c>
      <c r="D2109" t="s">
        <v>277</v>
      </c>
      <c r="E2109" t="s">
        <v>287</v>
      </c>
      <c r="F2109" t="s">
        <v>297</v>
      </c>
      <c r="G2109" t="s">
        <v>300</v>
      </c>
      <c r="H2109" t="s">
        <v>10</v>
      </c>
      <c r="I2109" t="s">
        <v>301</v>
      </c>
      <c r="J2109" t="s">
        <v>291</v>
      </c>
      <c r="K2109">
        <v>81179</v>
      </c>
      <c r="L2109" t="s">
        <v>266</v>
      </c>
      <c r="M2109" t="s">
        <v>10</v>
      </c>
    </row>
    <row r="2110" spans="1:13" x14ac:dyDescent="0.25">
      <c r="A2110">
        <v>2005</v>
      </c>
      <c r="B2110" t="s">
        <v>259</v>
      </c>
      <c r="C2110">
        <v>27141</v>
      </c>
      <c r="D2110" t="s">
        <v>277</v>
      </c>
      <c r="E2110" t="s">
        <v>287</v>
      </c>
      <c r="F2110" t="s">
        <v>298</v>
      </c>
      <c r="G2110" t="s">
        <v>300</v>
      </c>
      <c r="H2110" t="s">
        <v>10</v>
      </c>
      <c r="I2110" t="s">
        <v>301</v>
      </c>
      <c r="J2110" t="s">
        <v>291</v>
      </c>
      <c r="K2110">
        <v>81179</v>
      </c>
      <c r="L2110" t="s">
        <v>266</v>
      </c>
      <c r="M2110" t="s">
        <v>10</v>
      </c>
    </row>
    <row r="2111" spans="1:13" x14ac:dyDescent="0.25">
      <c r="A2111">
        <v>2005</v>
      </c>
      <c r="B2111" t="s">
        <v>259</v>
      </c>
      <c r="C2111">
        <v>27141</v>
      </c>
      <c r="D2111" t="s">
        <v>277</v>
      </c>
      <c r="E2111" t="s">
        <v>287</v>
      </c>
      <c r="F2111" t="s">
        <v>299</v>
      </c>
      <c r="G2111" t="s">
        <v>300</v>
      </c>
      <c r="H2111" t="s">
        <v>10</v>
      </c>
      <c r="I2111" t="s">
        <v>301</v>
      </c>
      <c r="J2111" t="s">
        <v>291</v>
      </c>
      <c r="K2111">
        <v>81179</v>
      </c>
      <c r="L2111" t="s">
        <v>266</v>
      </c>
      <c r="M2111" t="s">
        <v>10</v>
      </c>
    </row>
    <row r="2112" spans="1:13" x14ac:dyDescent="0.25">
      <c r="A2112">
        <v>2005</v>
      </c>
      <c r="B2112" t="s">
        <v>259</v>
      </c>
      <c r="C2112">
        <v>27163</v>
      </c>
      <c r="D2112" t="s">
        <v>278</v>
      </c>
      <c r="E2112" t="s">
        <v>287</v>
      </c>
      <c r="F2112" t="s">
        <v>293</v>
      </c>
      <c r="G2112" t="s">
        <v>300</v>
      </c>
      <c r="H2112">
        <v>861266.802190491</v>
      </c>
      <c r="I2112" t="s">
        <v>301</v>
      </c>
      <c r="J2112" t="s">
        <v>291</v>
      </c>
      <c r="K2112">
        <v>219972</v>
      </c>
      <c r="L2112" t="s">
        <v>266</v>
      </c>
      <c r="M2112">
        <v>3.92</v>
      </c>
    </row>
    <row r="2113" spans="1:13" x14ac:dyDescent="0.25">
      <c r="A2113">
        <v>2005</v>
      </c>
      <c r="B2113" t="s">
        <v>259</v>
      </c>
      <c r="C2113">
        <v>27163</v>
      </c>
      <c r="D2113" t="s">
        <v>278</v>
      </c>
      <c r="E2113" t="s">
        <v>287</v>
      </c>
      <c r="F2113" t="s">
        <v>297</v>
      </c>
      <c r="G2113" t="s">
        <v>300</v>
      </c>
      <c r="H2113" t="s">
        <v>10</v>
      </c>
      <c r="I2113" t="s">
        <v>301</v>
      </c>
      <c r="J2113" t="s">
        <v>291</v>
      </c>
      <c r="K2113">
        <v>219972</v>
      </c>
      <c r="L2113" t="s">
        <v>266</v>
      </c>
      <c r="M2113" t="s">
        <v>10</v>
      </c>
    </row>
    <row r="2114" spans="1:13" x14ac:dyDescent="0.25">
      <c r="A2114">
        <v>2005</v>
      </c>
      <c r="B2114" t="s">
        <v>259</v>
      </c>
      <c r="C2114">
        <v>27163</v>
      </c>
      <c r="D2114" t="s">
        <v>278</v>
      </c>
      <c r="E2114" t="s">
        <v>287</v>
      </c>
      <c r="F2114" t="s">
        <v>298</v>
      </c>
      <c r="G2114" t="s">
        <v>300</v>
      </c>
      <c r="H2114" t="s">
        <v>10</v>
      </c>
      <c r="I2114" t="s">
        <v>301</v>
      </c>
      <c r="J2114" t="s">
        <v>291</v>
      </c>
      <c r="K2114">
        <v>219972</v>
      </c>
      <c r="L2114" t="s">
        <v>266</v>
      </c>
      <c r="M2114" t="s">
        <v>10</v>
      </c>
    </row>
    <row r="2115" spans="1:13" x14ac:dyDescent="0.25">
      <c r="A2115">
        <v>2005</v>
      </c>
      <c r="B2115" t="s">
        <v>259</v>
      </c>
      <c r="C2115">
        <v>27163</v>
      </c>
      <c r="D2115" t="s">
        <v>278</v>
      </c>
      <c r="E2115" t="s">
        <v>287</v>
      </c>
      <c r="F2115" t="s">
        <v>299</v>
      </c>
      <c r="G2115" t="s">
        <v>300</v>
      </c>
      <c r="H2115" t="s">
        <v>10</v>
      </c>
      <c r="I2115" t="s">
        <v>301</v>
      </c>
      <c r="J2115" t="s">
        <v>291</v>
      </c>
      <c r="K2115">
        <v>219972</v>
      </c>
      <c r="L2115" t="s">
        <v>266</v>
      </c>
      <c r="M2115" t="s">
        <v>10</v>
      </c>
    </row>
    <row r="2116" spans="1:13" x14ac:dyDescent="0.25">
      <c r="A2116">
        <v>2021</v>
      </c>
      <c r="B2116" t="s">
        <v>259</v>
      </c>
      <c r="C2116">
        <v>27003</v>
      </c>
      <c r="D2116" t="s">
        <v>260</v>
      </c>
      <c r="E2116" t="s">
        <v>287</v>
      </c>
      <c r="F2116" t="s">
        <v>293</v>
      </c>
      <c r="G2116" t="s">
        <v>300</v>
      </c>
      <c r="H2116">
        <v>845918.42853819404</v>
      </c>
      <c r="I2116" t="s">
        <v>301</v>
      </c>
      <c r="J2116" t="s">
        <v>291</v>
      </c>
      <c r="K2116">
        <v>360773</v>
      </c>
      <c r="L2116" t="s">
        <v>286</v>
      </c>
      <c r="M2116">
        <v>2.34</v>
      </c>
    </row>
    <row r="2117" spans="1:13" x14ac:dyDescent="0.25">
      <c r="A2117">
        <v>2021</v>
      </c>
      <c r="B2117" t="s">
        <v>259</v>
      </c>
      <c r="C2117">
        <v>27003</v>
      </c>
      <c r="D2117" t="s">
        <v>260</v>
      </c>
      <c r="E2117" t="s">
        <v>287</v>
      </c>
      <c r="F2117" t="s">
        <v>297</v>
      </c>
      <c r="G2117" t="s">
        <v>300</v>
      </c>
      <c r="H2117">
        <v>214040.220503855</v>
      </c>
      <c r="I2117" t="s">
        <v>301</v>
      </c>
      <c r="J2117" t="s">
        <v>291</v>
      </c>
      <c r="K2117">
        <v>360773</v>
      </c>
      <c r="L2117" t="s">
        <v>286</v>
      </c>
      <c r="M2117">
        <v>0.59</v>
      </c>
    </row>
    <row r="2118" spans="1:13" x14ac:dyDescent="0.25">
      <c r="A2118">
        <v>2021</v>
      </c>
      <c r="B2118" t="s">
        <v>259</v>
      </c>
      <c r="C2118">
        <v>27003</v>
      </c>
      <c r="D2118" t="s">
        <v>260</v>
      </c>
      <c r="E2118" t="s">
        <v>287</v>
      </c>
      <c r="F2118" t="s">
        <v>298</v>
      </c>
      <c r="G2118" t="s">
        <v>300</v>
      </c>
      <c r="H2118">
        <v>281212.870917928</v>
      </c>
      <c r="I2118" t="s">
        <v>301</v>
      </c>
      <c r="J2118" t="s">
        <v>291</v>
      </c>
      <c r="K2118">
        <v>360773</v>
      </c>
      <c r="L2118" t="s">
        <v>286</v>
      </c>
      <c r="M2118">
        <v>0.78</v>
      </c>
    </row>
    <row r="2119" spans="1:13" x14ac:dyDescent="0.25">
      <c r="A2119">
        <v>2021</v>
      </c>
      <c r="B2119" t="s">
        <v>259</v>
      </c>
      <c r="C2119">
        <v>27003</v>
      </c>
      <c r="D2119" t="s">
        <v>260</v>
      </c>
      <c r="E2119" t="s">
        <v>287</v>
      </c>
      <c r="F2119" t="s">
        <v>299</v>
      </c>
      <c r="G2119" t="s">
        <v>300</v>
      </c>
      <c r="H2119">
        <v>350665.33711641101</v>
      </c>
      <c r="I2119" t="s">
        <v>301</v>
      </c>
      <c r="J2119" t="s">
        <v>291</v>
      </c>
      <c r="K2119">
        <v>360773</v>
      </c>
      <c r="L2119" t="s">
        <v>286</v>
      </c>
      <c r="M2119">
        <v>0.97</v>
      </c>
    </row>
    <row r="2120" spans="1:13" x14ac:dyDescent="0.25">
      <c r="A2120">
        <v>2021</v>
      </c>
      <c r="B2120" t="s">
        <v>259</v>
      </c>
      <c r="C2120">
        <v>27019</v>
      </c>
      <c r="D2120" t="s">
        <v>271</v>
      </c>
      <c r="E2120" t="s">
        <v>287</v>
      </c>
      <c r="F2120" t="s">
        <v>293</v>
      </c>
      <c r="G2120" t="s">
        <v>300</v>
      </c>
      <c r="H2120">
        <v>282251.49644645298</v>
      </c>
      <c r="I2120" t="s">
        <v>301</v>
      </c>
      <c r="J2120" t="s">
        <v>291</v>
      </c>
      <c r="K2120">
        <v>105694</v>
      </c>
      <c r="L2120" t="s">
        <v>286</v>
      </c>
      <c r="M2120">
        <v>2.67</v>
      </c>
    </row>
    <row r="2121" spans="1:13" x14ac:dyDescent="0.25">
      <c r="A2121">
        <v>2021</v>
      </c>
      <c r="B2121" t="s">
        <v>259</v>
      </c>
      <c r="C2121">
        <v>27019</v>
      </c>
      <c r="D2121" t="s">
        <v>271</v>
      </c>
      <c r="E2121" t="s">
        <v>287</v>
      </c>
      <c r="F2121" t="s">
        <v>297</v>
      </c>
      <c r="G2121" t="s">
        <v>300</v>
      </c>
      <c r="H2121">
        <v>74852.076136685995</v>
      </c>
      <c r="I2121" t="s">
        <v>301</v>
      </c>
      <c r="J2121" t="s">
        <v>291</v>
      </c>
      <c r="K2121">
        <v>105694</v>
      </c>
      <c r="L2121" t="s">
        <v>286</v>
      </c>
      <c r="M2121">
        <v>0.71</v>
      </c>
    </row>
    <row r="2122" spans="1:13" x14ac:dyDescent="0.25">
      <c r="A2122">
        <v>2021</v>
      </c>
      <c r="B2122" t="s">
        <v>259</v>
      </c>
      <c r="C2122">
        <v>27019</v>
      </c>
      <c r="D2122" t="s">
        <v>271</v>
      </c>
      <c r="E2122" t="s">
        <v>287</v>
      </c>
      <c r="F2122" t="s">
        <v>298</v>
      </c>
      <c r="G2122" t="s">
        <v>300</v>
      </c>
      <c r="H2122">
        <v>106513.202733841</v>
      </c>
      <c r="I2122" t="s">
        <v>301</v>
      </c>
      <c r="J2122" t="s">
        <v>291</v>
      </c>
      <c r="K2122">
        <v>105694</v>
      </c>
      <c r="L2122" t="s">
        <v>286</v>
      </c>
      <c r="M2122">
        <v>1.01</v>
      </c>
    </row>
    <row r="2123" spans="1:13" x14ac:dyDescent="0.25">
      <c r="A2123">
        <v>2021</v>
      </c>
      <c r="B2123" t="s">
        <v>259</v>
      </c>
      <c r="C2123">
        <v>27019</v>
      </c>
      <c r="D2123" t="s">
        <v>271</v>
      </c>
      <c r="E2123" t="s">
        <v>287</v>
      </c>
      <c r="F2123" t="s">
        <v>299</v>
      </c>
      <c r="G2123" t="s">
        <v>300</v>
      </c>
      <c r="H2123">
        <v>100886.21757592499</v>
      </c>
      <c r="I2123" t="s">
        <v>301</v>
      </c>
      <c r="J2123" t="s">
        <v>291</v>
      </c>
      <c r="K2123">
        <v>105694</v>
      </c>
      <c r="L2123" t="s">
        <v>286</v>
      </c>
      <c r="M2123">
        <v>0.95</v>
      </c>
    </row>
    <row r="2124" spans="1:13" x14ac:dyDescent="0.25">
      <c r="A2124">
        <v>2021</v>
      </c>
      <c r="B2124" t="s">
        <v>259</v>
      </c>
      <c r="C2124">
        <v>27025</v>
      </c>
      <c r="D2124" t="s">
        <v>272</v>
      </c>
      <c r="E2124" t="s">
        <v>287</v>
      </c>
      <c r="F2124" t="s">
        <v>293</v>
      </c>
      <c r="G2124" t="s">
        <v>300</v>
      </c>
      <c r="H2124">
        <v>201188.130514021</v>
      </c>
      <c r="I2124" t="s">
        <v>301</v>
      </c>
      <c r="J2124" t="s">
        <v>291</v>
      </c>
      <c r="K2124">
        <v>56328</v>
      </c>
      <c r="L2124" t="s">
        <v>286</v>
      </c>
      <c r="M2124">
        <v>3.57</v>
      </c>
    </row>
    <row r="2125" spans="1:13" x14ac:dyDescent="0.25">
      <c r="A2125">
        <v>2021</v>
      </c>
      <c r="B2125" t="s">
        <v>259</v>
      </c>
      <c r="C2125">
        <v>27025</v>
      </c>
      <c r="D2125" t="s">
        <v>272</v>
      </c>
      <c r="E2125" t="s">
        <v>287</v>
      </c>
      <c r="F2125" t="s">
        <v>297</v>
      </c>
      <c r="G2125" t="s">
        <v>300</v>
      </c>
      <c r="H2125">
        <v>48143.7429016756</v>
      </c>
      <c r="I2125" t="s">
        <v>301</v>
      </c>
      <c r="J2125" t="s">
        <v>291</v>
      </c>
      <c r="K2125">
        <v>56328</v>
      </c>
      <c r="L2125" t="s">
        <v>286</v>
      </c>
      <c r="M2125">
        <v>0.85</v>
      </c>
    </row>
    <row r="2126" spans="1:13" x14ac:dyDescent="0.25">
      <c r="A2126">
        <v>2021</v>
      </c>
      <c r="B2126" t="s">
        <v>259</v>
      </c>
      <c r="C2126">
        <v>27025</v>
      </c>
      <c r="D2126" t="s">
        <v>272</v>
      </c>
      <c r="E2126" t="s">
        <v>287</v>
      </c>
      <c r="F2126" t="s">
        <v>298</v>
      </c>
      <c r="G2126" t="s">
        <v>300</v>
      </c>
      <c r="H2126">
        <v>73681.021433167902</v>
      </c>
      <c r="I2126" t="s">
        <v>301</v>
      </c>
      <c r="J2126" t="s">
        <v>291</v>
      </c>
      <c r="K2126">
        <v>56328</v>
      </c>
      <c r="L2126" t="s">
        <v>286</v>
      </c>
      <c r="M2126">
        <v>1.31</v>
      </c>
    </row>
    <row r="2127" spans="1:13" x14ac:dyDescent="0.25">
      <c r="A2127">
        <v>2021</v>
      </c>
      <c r="B2127" t="s">
        <v>259</v>
      </c>
      <c r="C2127">
        <v>27025</v>
      </c>
      <c r="D2127" t="s">
        <v>272</v>
      </c>
      <c r="E2127" t="s">
        <v>287</v>
      </c>
      <c r="F2127" t="s">
        <v>299</v>
      </c>
      <c r="G2127" t="s">
        <v>300</v>
      </c>
      <c r="H2127">
        <v>79363.366179177305</v>
      </c>
      <c r="I2127" t="s">
        <v>301</v>
      </c>
      <c r="J2127" t="s">
        <v>291</v>
      </c>
      <c r="K2127">
        <v>56328</v>
      </c>
      <c r="L2127" t="s">
        <v>286</v>
      </c>
      <c r="M2127">
        <v>1.41</v>
      </c>
    </row>
    <row r="2128" spans="1:13" x14ac:dyDescent="0.25">
      <c r="A2128">
        <v>2021</v>
      </c>
      <c r="B2128" t="s">
        <v>259</v>
      </c>
      <c r="C2128">
        <v>27037</v>
      </c>
      <c r="D2128" t="s">
        <v>273</v>
      </c>
      <c r="E2128" t="s">
        <v>287</v>
      </c>
      <c r="F2128" t="s">
        <v>293</v>
      </c>
      <c r="G2128" t="s">
        <v>300</v>
      </c>
      <c r="H2128">
        <v>892298.58577016997</v>
      </c>
      <c r="I2128" t="s">
        <v>301</v>
      </c>
      <c r="J2128" t="s">
        <v>291</v>
      </c>
      <c r="K2128">
        <v>435863</v>
      </c>
      <c r="L2128" t="s">
        <v>286</v>
      </c>
      <c r="M2128">
        <v>2.0499999999999998</v>
      </c>
    </row>
    <row r="2129" spans="1:13" x14ac:dyDescent="0.25">
      <c r="A2129">
        <v>2021</v>
      </c>
      <c r="B2129" t="s">
        <v>259</v>
      </c>
      <c r="C2129">
        <v>27037</v>
      </c>
      <c r="D2129" t="s">
        <v>273</v>
      </c>
      <c r="E2129" t="s">
        <v>287</v>
      </c>
      <c r="F2129" t="s">
        <v>297</v>
      </c>
      <c r="G2129" t="s">
        <v>300</v>
      </c>
      <c r="H2129">
        <v>251984.76183231399</v>
      </c>
      <c r="I2129" t="s">
        <v>301</v>
      </c>
      <c r="J2129" t="s">
        <v>291</v>
      </c>
      <c r="K2129">
        <v>435863</v>
      </c>
      <c r="L2129" t="s">
        <v>286</v>
      </c>
      <c r="M2129">
        <v>0.57999999999999996</v>
      </c>
    </row>
    <row r="2130" spans="1:13" x14ac:dyDescent="0.25">
      <c r="A2130">
        <v>2021</v>
      </c>
      <c r="B2130" t="s">
        <v>259</v>
      </c>
      <c r="C2130">
        <v>27037</v>
      </c>
      <c r="D2130" t="s">
        <v>273</v>
      </c>
      <c r="E2130" t="s">
        <v>287</v>
      </c>
      <c r="F2130" t="s">
        <v>298</v>
      </c>
      <c r="G2130" t="s">
        <v>300</v>
      </c>
      <c r="H2130">
        <v>345216.79492337699</v>
      </c>
      <c r="I2130" t="s">
        <v>301</v>
      </c>
      <c r="J2130" t="s">
        <v>291</v>
      </c>
      <c r="K2130">
        <v>435863</v>
      </c>
      <c r="L2130" t="s">
        <v>286</v>
      </c>
      <c r="M2130">
        <v>0.79</v>
      </c>
    </row>
    <row r="2131" spans="1:13" x14ac:dyDescent="0.25">
      <c r="A2131">
        <v>2021</v>
      </c>
      <c r="B2131" t="s">
        <v>259</v>
      </c>
      <c r="C2131">
        <v>27037</v>
      </c>
      <c r="D2131" t="s">
        <v>273</v>
      </c>
      <c r="E2131" t="s">
        <v>287</v>
      </c>
      <c r="F2131" t="s">
        <v>299</v>
      </c>
      <c r="G2131" t="s">
        <v>300</v>
      </c>
      <c r="H2131">
        <v>295097.02901447902</v>
      </c>
      <c r="I2131" t="s">
        <v>301</v>
      </c>
      <c r="J2131" t="s">
        <v>291</v>
      </c>
      <c r="K2131">
        <v>435863</v>
      </c>
      <c r="L2131" t="s">
        <v>286</v>
      </c>
      <c r="M2131">
        <v>0.68</v>
      </c>
    </row>
    <row r="2132" spans="1:13" x14ac:dyDescent="0.25">
      <c r="A2132">
        <v>2021</v>
      </c>
      <c r="B2132" t="s">
        <v>259</v>
      </c>
      <c r="C2132">
        <v>27053</v>
      </c>
      <c r="D2132" t="s">
        <v>274</v>
      </c>
      <c r="E2132" t="s">
        <v>287</v>
      </c>
      <c r="F2132" t="s">
        <v>293</v>
      </c>
      <c r="G2132" t="s">
        <v>300</v>
      </c>
      <c r="H2132">
        <v>4583516.35332222</v>
      </c>
      <c r="I2132" t="s">
        <v>301</v>
      </c>
      <c r="J2132" t="s">
        <v>291</v>
      </c>
      <c r="K2132">
        <v>1270283</v>
      </c>
      <c r="L2132" t="s">
        <v>286</v>
      </c>
      <c r="M2132">
        <v>3.61</v>
      </c>
    </row>
    <row r="2133" spans="1:13" x14ac:dyDescent="0.25">
      <c r="A2133">
        <v>2021</v>
      </c>
      <c r="B2133" t="s">
        <v>259</v>
      </c>
      <c r="C2133">
        <v>27053</v>
      </c>
      <c r="D2133" t="s">
        <v>274</v>
      </c>
      <c r="E2133" t="s">
        <v>287</v>
      </c>
      <c r="F2133" t="s">
        <v>297</v>
      </c>
      <c r="G2133" t="s">
        <v>300</v>
      </c>
      <c r="H2133">
        <v>2186397.61354012</v>
      </c>
      <c r="I2133" t="s">
        <v>301</v>
      </c>
      <c r="J2133" t="s">
        <v>291</v>
      </c>
      <c r="K2133">
        <v>1270283</v>
      </c>
      <c r="L2133" t="s">
        <v>286</v>
      </c>
      <c r="M2133">
        <v>1.72</v>
      </c>
    </row>
    <row r="2134" spans="1:13" x14ac:dyDescent="0.25">
      <c r="A2134">
        <v>2021</v>
      </c>
      <c r="B2134" t="s">
        <v>259</v>
      </c>
      <c r="C2134">
        <v>27053</v>
      </c>
      <c r="D2134" t="s">
        <v>274</v>
      </c>
      <c r="E2134" t="s">
        <v>287</v>
      </c>
      <c r="F2134" t="s">
        <v>298</v>
      </c>
      <c r="G2134" t="s">
        <v>300</v>
      </c>
      <c r="H2134">
        <v>566931.19184861705</v>
      </c>
      <c r="I2134" t="s">
        <v>301</v>
      </c>
      <c r="J2134" t="s">
        <v>291</v>
      </c>
      <c r="K2134">
        <v>1270283</v>
      </c>
      <c r="L2134" t="s">
        <v>286</v>
      </c>
      <c r="M2134">
        <v>0.45</v>
      </c>
    </row>
    <row r="2135" spans="1:13" x14ac:dyDescent="0.25">
      <c r="A2135">
        <v>2021</v>
      </c>
      <c r="B2135" t="s">
        <v>259</v>
      </c>
      <c r="C2135">
        <v>27053</v>
      </c>
      <c r="D2135" t="s">
        <v>274</v>
      </c>
      <c r="E2135" t="s">
        <v>287</v>
      </c>
      <c r="F2135" t="s">
        <v>299</v>
      </c>
      <c r="G2135" t="s">
        <v>300</v>
      </c>
      <c r="H2135">
        <v>1830187.54793349</v>
      </c>
      <c r="I2135" t="s">
        <v>301</v>
      </c>
      <c r="J2135" t="s">
        <v>291</v>
      </c>
      <c r="K2135">
        <v>1270283</v>
      </c>
      <c r="L2135" t="s">
        <v>286</v>
      </c>
      <c r="M2135">
        <v>1.44</v>
      </c>
    </row>
    <row r="2136" spans="1:13" x14ac:dyDescent="0.25">
      <c r="A2136">
        <v>2021</v>
      </c>
      <c r="B2136" t="s">
        <v>259</v>
      </c>
      <c r="C2136">
        <v>27123</v>
      </c>
      <c r="D2136" t="s">
        <v>275</v>
      </c>
      <c r="E2136" t="s">
        <v>287</v>
      </c>
      <c r="F2136" t="s">
        <v>293</v>
      </c>
      <c r="G2136" t="s">
        <v>300</v>
      </c>
      <c r="H2136">
        <v>3000451.5735583501</v>
      </c>
      <c r="I2136" t="s">
        <v>301</v>
      </c>
      <c r="J2136" t="s">
        <v>291</v>
      </c>
      <c r="K2136">
        <v>549377</v>
      </c>
      <c r="L2136" t="s">
        <v>286</v>
      </c>
      <c r="M2136">
        <v>5.46</v>
      </c>
    </row>
    <row r="2137" spans="1:13" x14ac:dyDescent="0.25">
      <c r="A2137">
        <v>2021</v>
      </c>
      <c r="B2137" t="s">
        <v>259</v>
      </c>
      <c r="C2137">
        <v>27123</v>
      </c>
      <c r="D2137" t="s">
        <v>275</v>
      </c>
      <c r="E2137" t="s">
        <v>287</v>
      </c>
      <c r="F2137" t="s">
        <v>297</v>
      </c>
      <c r="G2137" t="s">
        <v>300</v>
      </c>
      <c r="H2137">
        <v>1188884.96062431</v>
      </c>
      <c r="I2137" t="s">
        <v>301</v>
      </c>
      <c r="J2137" t="s">
        <v>291</v>
      </c>
      <c r="K2137">
        <v>549377</v>
      </c>
      <c r="L2137" t="s">
        <v>286</v>
      </c>
      <c r="M2137">
        <v>2.16</v>
      </c>
    </row>
    <row r="2138" spans="1:13" x14ac:dyDescent="0.25">
      <c r="A2138">
        <v>2021</v>
      </c>
      <c r="B2138" t="s">
        <v>259</v>
      </c>
      <c r="C2138">
        <v>27123</v>
      </c>
      <c r="D2138" t="s">
        <v>275</v>
      </c>
      <c r="E2138" t="s">
        <v>287</v>
      </c>
      <c r="F2138" t="s">
        <v>298</v>
      </c>
      <c r="G2138" t="s">
        <v>300</v>
      </c>
      <c r="H2138">
        <v>795147.45102246699</v>
      </c>
      <c r="I2138" t="s">
        <v>301</v>
      </c>
      <c r="J2138" t="s">
        <v>291</v>
      </c>
      <c r="K2138">
        <v>549377</v>
      </c>
      <c r="L2138" t="s">
        <v>286</v>
      </c>
      <c r="M2138">
        <v>1.45</v>
      </c>
    </row>
    <row r="2139" spans="1:13" x14ac:dyDescent="0.25">
      <c r="A2139">
        <v>2021</v>
      </c>
      <c r="B2139" t="s">
        <v>259</v>
      </c>
      <c r="C2139">
        <v>27123</v>
      </c>
      <c r="D2139" t="s">
        <v>275</v>
      </c>
      <c r="E2139" t="s">
        <v>287</v>
      </c>
      <c r="F2139" t="s">
        <v>299</v>
      </c>
      <c r="G2139" t="s">
        <v>300</v>
      </c>
      <c r="H2139">
        <v>1016419.16191158</v>
      </c>
      <c r="I2139" t="s">
        <v>301</v>
      </c>
      <c r="J2139" t="s">
        <v>291</v>
      </c>
      <c r="K2139">
        <v>549377</v>
      </c>
      <c r="L2139" t="s">
        <v>286</v>
      </c>
      <c r="M2139">
        <v>1.85</v>
      </c>
    </row>
    <row r="2140" spans="1:13" x14ac:dyDescent="0.25">
      <c r="A2140">
        <v>2021</v>
      </c>
      <c r="B2140" t="s">
        <v>259</v>
      </c>
      <c r="C2140">
        <v>27139</v>
      </c>
      <c r="D2140" t="s">
        <v>276</v>
      </c>
      <c r="E2140" t="s">
        <v>287</v>
      </c>
      <c r="F2140" t="s">
        <v>293</v>
      </c>
      <c r="G2140" t="s">
        <v>300</v>
      </c>
      <c r="H2140">
        <v>548172.31196810899</v>
      </c>
      <c r="I2140" t="s">
        <v>301</v>
      </c>
      <c r="J2140" t="s">
        <v>291</v>
      </c>
      <c r="K2140">
        <v>149568</v>
      </c>
      <c r="L2140" t="s">
        <v>286</v>
      </c>
      <c r="M2140">
        <v>3.67</v>
      </c>
    </row>
    <row r="2141" spans="1:13" x14ac:dyDescent="0.25">
      <c r="A2141">
        <v>2021</v>
      </c>
      <c r="B2141" t="s">
        <v>259</v>
      </c>
      <c r="C2141">
        <v>27139</v>
      </c>
      <c r="D2141" t="s">
        <v>276</v>
      </c>
      <c r="E2141" t="s">
        <v>287</v>
      </c>
      <c r="F2141" t="s">
        <v>297</v>
      </c>
      <c r="G2141" t="s">
        <v>300</v>
      </c>
      <c r="H2141">
        <v>165380.37402612701</v>
      </c>
      <c r="I2141" t="s">
        <v>301</v>
      </c>
      <c r="J2141" t="s">
        <v>291</v>
      </c>
      <c r="K2141">
        <v>149568</v>
      </c>
      <c r="L2141" t="s">
        <v>286</v>
      </c>
      <c r="M2141">
        <v>1.1100000000000001</v>
      </c>
    </row>
    <row r="2142" spans="1:13" x14ac:dyDescent="0.25">
      <c r="A2142">
        <v>2021</v>
      </c>
      <c r="B2142" t="s">
        <v>259</v>
      </c>
      <c r="C2142">
        <v>27139</v>
      </c>
      <c r="D2142" t="s">
        <v>276</v>
      </c>
      <c r="E2142" t="s">
        <v>287</v>
      </c>
      <c r="F2142" t="s">
        <v>298</v>
      </c>
      <c r="G2142" t="s">
        <v>300</v>
      </c>
      <c r="H2142">
        <v>147536.28209693701</v>
      </c>
      <c r="I2142" t="s">
        <v>301</v>
      </c>
      <c r="J2142" t="s">
        <v>291</v>
      </c>
      <c r="K2142">
        <v>149568</v>
      </c>
      <c r="L2142" t="s">
        <v>286</v>
      </c>
      <c r="M2142">
        <v>0.99</v>
      </c>
    </row>
    <row r="2143" spans="1:13" x14ac:dyDescent="0.25">
      <c r="A2143">
        <v>2021</v>
      </c>
      <c r="B2143" t="s">
        <v>259</v>
      </c>
      <c r="C2143">
        <v>27139</v>
      </c>
      <c r="D2143" t="s">
        <v>276</v>
      </c>
      <c r="E2143" t="s">
        <v>287</v>
      </c>
      <c r="F2143" t="s">
        <v>299</v>
      </c>
      <c r="G2143" t="s">
        <v>300</v>
      </c>
      <c r="H2143">
        <v>235255.65584504601</v>
      </c>
      <c r="I2143" t="s">
        <v>301</v>
      </c>
      <c r="J2143" t="s">
        <v>291</v>
      </c>
      <c r="K2143">
        <v>149568</v>
      </c>
      <c r="L2143" t="s">
        <v>286</v>
      </c>
      <c r="M2143">
        <v>1.57</v>
      </c>
    </row>
    <row r="2144" spans="1:13" x14ac:dyDescent="0.25">
      <c r="A2144">
        <v>2021</v>
      </c>
      <c r="B2144" t="s">
        <v>259</v>
      </c>
      <c r="C2144">
        <v>27141</v>
      </c>
      <c r="D2144" t="s">
        <v>277</v>
      </c>
      <c r="E2144" t="s">
        <v>287</v>
      </c>
      <c r="F2144" t="s">
        <v>293</v>
      </c>
      <c r="G2144" t="s">
        <v>300</v>
      </c>
      <c r="H2144">
        <v>204331.420035761</v>
      </c>
      <c r="I2144" t="s">
        <v>301</v>
      </c>
      <c r="J2144" t="s">
        <v>291</v>
      </c>
      <c r="K2144">
        <v>96295</v>
      </c>
      <c r="L2144" t="s">
        <v>286</v>
      </c>
      <c r="M2144">
        <v>2.12</v>
      </c>
    </row>
    <row r="2145" spans="1:13" x14ac:dyDescent="0.25">
      <c r="A2145">
        <v>2021</v>
      </c>
      <c r="B2145" t="s">
        <v>259</v>
      </c>
      <c r="C2145">
        <v>27141</v>
      </c>
      <c r="D2145" t="s">
        <v>277</v>
      </c>
      <c r="E2145" t="s">
        <v>287</v>
      </c>
      <c r="F2145" t="s">
        <v>297</v>
      </c>
      <c r="G2145" t="s">
        <v>300</v>
      </c>
      <c r="H2145">
        <v>65779.833026733802</v>
      </c>
      <c r="I2145" t="s">
        <v>301</v>
      </c>
      <c r="J2145" t="s">
        <v>291</v>
      </c>
      <c r="K2145">
        <v>96295</v>
      </c>
      <c r="L2145" t="s">
        <v>286</v>
      </c>
      <c r="M2145">
        <v>0.68</v>
      </c>
    </row>
    <row r="2146" spans="1:13" x14ac:dyDescent="0.25">
      <c r="A2146">
        <v>2021</v>
      </c>
      <c r="B2146" t="s">
        <v>259</v>
      </c>
      <c r="C2146">
        <v>27141</v>
      </c>
      <c r="D2146" t="s">
        <v>277</v>
      </c>
      <c r="E2146" t="s">
        <v>287</v>
      </c>
      <c r="F2146" t="s">
        <v>298</v>
      </c>
      <c r="G2146" t="s">
        <v>300</v>
      </c>
      <c r="H2146">
        <v>51976.690747487097</v>
      </c>
      <c r="I2146" t="s">
        <v>301</v>
      </c>
      <c r="J2146" t="s">
        <v>291</v>
      </c>
      <c r="K2146">
        <v>96295</v>
      </c>
      <c r="L2146" t="s">
        <v>286</v>
      </c>
      <c r="M2146">
        <v>0.54</v>
      </c>
    </row>
    <row r="2147" spans="1:13" x14ac:dyDescent="0.25">
      <c r="A2147">
        <v>2021</v>
      </c>
      <c r="B2147" t="s">
        <v>259</v>
      </c>
      <c r="C2147">
        <v>27141</v>
      </c>
      <c r="D2147" t="s">
        <v>277</v>
      </c>
      <c r="E2147" t="s">
        <v>287</v>
      </c>
      <c r="F2147" t="s">
        <v>299</v>
      </c>
      <c r="G2147" t="s">
        <v>300</v>
      </c>
      <c r="H2147">
        <v>86574.896261540096</v>
      </c>
      <c r="I2147" t="s">
        <v>301</v>
      </c>
      <c r="J2147" t="s">
        <v>291</v>
      </c>
      <c r="K2147">
        <v>96295</v>
      </c>
      <c r="L2147" t="s">
        <v>286</v>
      </c>
      <c r="M2147">
        <v>0.9</v>
      </c>
    </row>
    <row r="2148" spans="1:13" x14ac:dyDescent="0.25">
      <c r="A2148">
        <v>2021</v>
      </c>
      <c r="B2148" t="s">
        <v>259</v>
      </c>
      <c r="C2148">
        <v>27163</v>
      </c>
      <c r="D2148" t="s">
        <v>278</v>
      </c>
      <c r="E2148" t="s">
        <v>287</v>
      </c>
      <c r="F2148" t="s">
        <v>293</v>
      </c>
      <c r="G2148" t="s">
        <v>300</v>
      </c>
      <c r="H2148">
        <v>1416472.06385079</v>
      </c>
      <c r="I2148" t="s">
        <v>301</v>
      </c>
      <c r="J2148" t="s">
        <v>291</v>
      </c>
      <c r="K2148">
        <v>264818</v>
      </c>
      <c r="L2148" t="s">
        <v>286</v>
      </c>
      <c r="M2148">
        <v>5.35</v>
      </c>
    </row>
    <row r="2149" spans="1:13" x14ac:dyDescent="0.25">
      <c r="A2149">
        <v>2021</v>
      </c>
      <c r="B2149" t="s">
        <v>259</v>
      </c>
      <c r="C2149">
        <v>27163</v>
      </c>
      <c r="D2149" t="s">
        <v>278</v>
      </c>
      <c r="E2149" t="s">
        <v>287</v>
      </c>
      <c r="F2149" t="s">
        <v>297</v>
      </c>
      <c r="G2149" t="s">
        <v>300</v>
      </c>
      <c r="H2149">
        <v>365156.65497432102</v>
      </c>
      <c r="I2149" t="s">
        <v>301</v>
      </c>
      <c r="J2149" t="s">
        <v>291</v>
      </c>
      <c r="K2149">
        <v>264818</v>
      </c>
      <c r="L2149" t="s">
        <v>286</v>
      </c>
      <c r="M2149">
        <v>1.38</v>
      </c>
    </row>
    <row r="2150" spans="1:13" x14ac:dyDescent="0.25">
      <c r="A2150">
        <v>2021</v>
      </c>
      <c r="B2150" t="s">
        <v>259</v>
      </c>
      <c r="C2150">
        <v>27163</v>
      </c>
      <c r="D2150" t="s">
        <v>278</v>
      </c>
      <c r="E2150" t="s">
        <v>287</v>
      </c>
      <c r="F2150" t="s">
        <v>298</v>
      </c>
      <c r="G2150" t="s">
        <v>300</v>
      </c>
      <c r="H2150">
        <v>421574.64978496602</v>
      </c>
      <c r="I2150" t="s">
        <v>301</v>
      </c>
      <c r="J2150" t="s">
        <v>291</v>
      </c>
      <c r="K2150">
        <v>264818</v>
      </c>
      <c r="L2150" t="s">
        <v>286</v>
      </c>
      <c r="M2150">
        <v>1.59</v>
      </c>
    </row>
    <row r="2151" spans="1:13" x14ac:dyDescent="0.25">
      <c r="A2151">
        <v>2021</v>
      </c>
      <c r="B2151" t="s">
        <v>259</v>
      </c>
      <c r="C2151">
        <v>27163</v>
      </c>
      <c r="D2151" t="s">
        <v>278</v>
      </c>
      <c r="E2151" t="s">
        <v>287</v>
      </c>
      <c r="F2151" t="s">
        <v>299</v>
      </c>
      <c r="G2151" t="s">
        <v>300</v>
      </c>
      <c r="H2151">
        <v>629740.75909150799</v>
      </c>
      <c r="I2151" t="s">
        <v>301</v>
      </c>
      <c r="J2151" t="s">
        <v>291</v>
      </c>
      <c r="K2151">
        <v>264818</v>
      </c>
      <c r="L2151" t="s">
        <v>286</v>
      </c>
      <c r="M2151">
        <v>2.38</v>
      </c>
    </row>
    <row r="2152" spans="1:13" x14ac:dyDescent="0.25">
      <c r="A2152">
        <v>2005</v>
      </c>
      <c r="B2152" t="s">
        <v>259</v>
      </c>
      <c r="C2152">
        <v>55093</v>
      </c>
      <c r="D2152" t="s">
        <v>279</v>
      </c>
      <c r="E2152" t="s">
        <v>287</v>
      </c>
      <c r="F2152" t="s">
        <v>293</v>
      </c>
      <c r="G2152" t="s">
        <v>300</v>
      </c>
      <c r="H2152">
        <v>52914.279813716399</v>
      </c>
      <c r="I2152" t="s">
        <v>301</v>
      </c>
      <c r="J2152" t="s">
        <v>291</v>
      </c>
      <c r="K2152">
        <v>39318</v>
      </c>
      <c r="L2152" t="s">
        <v>266</v>
      </c>
      <c r="M2152">
        <v>1.35</v>
      </c>
    </row>
    <row r="2153" spans="1:13" x14ac:dyDescent="0.25">
      <c r="A2153">
        <v>2005</v>
      </c>
      <c r="B2153" t="s">
        <v>259</v>
      </c>
      <c r="C2153">
        <v>55093</v>
      </c>
      <c r="D2153" t="s">
        <v>279</v>
      </c>
      <c r="E2153" t="s">
        <v>287</v>
      </c>
      <c r="F2153" t="s">
        <v>297</v>
      </c>
      <c r="G2153" t="s">
        <v>300</v>
      </c>
      <c r="H2153" t="s">
        <v>10</v>
      </c>
      <c r="I2153" t="s">
        <v>301</v>
      </c>
      <c r="J2153" t="s">
        <v>291</v>
      </c>
      <c r="K2153">
        <v>39318</v>
      </c>
      <c r="L2153" t="s">
        <v>266</v>
      </c>
      <c r="M2153" t="s">
        <v>10</v>
      </c>
    </row>
    <row r="2154" spans="1:13" x14ac:dyDescent="0.25">
      <c r="A2154">
        <v>2005</v>
      </c>
      <c r="B2154" t="s">
        <v>259</v>
      </c>
      <c r="C2154">
        <v>55093</v>
      </c>
      <c r="D2154" t="s">
        <v>279</v>
      </c>
      <c r="E2154" t="s">
        <v>287</v>
      </c>
      <c r="F2154" t="s">
        <v>298</v>
      </c>
      <c r="G2154" t="s">
        <v>300</v>
      </c>
      <c r="H2154" t="s">
        <v>10</v>
      </c>
      <c r="I2154" t="s">
        <v>301</v>
      </c>
      <c r="J2154" t="s">
        <v>291</v>
      </c>
      <c r="K2154">
        <v>39318</v>
      </c>
      <c r="L2154" t="s">
        <v>266</v>
      </c>
      <c r="M2154" t="s">
        <v>10</v>
      </c>
    </row>
    <row r="2155" spans="1:13" x14ac:dyDescent="0.25">
      <c r="A2155">
        <v>2005</v>
      </c>
      <c r="B2155" t="s">
        <v>259</v>
      </c>
      <c r="C2155">
        <v>55093</v>
      </c>
      <c r="D2155" t="s">
        <v>279</v>
      </c>
      <c r="E2155" t="s">
        <v>287</v>
      </c>
      <c r="F2155" t="s">
        <v>299</v>
      </c>
      <c r="G2155" t="s">
        <v>300</v>
      </c>
      <c r="H2155" t="s">
        <v>10</v>
      </c>
      <c r="I2155" t="s">
        <v>301</v>
      </c>
      <c r="J2155" t="s">
        <v>291</v>
      </c>
      <c r="K2155">
        <v>39318</v>
      </c>
      <c r="L2155" t="s">
        <v>266</v>
      </c>
      <c r="M2155" t="s">
        <v>10</v>
      </c>
    </row>
    <row r="2156" spans="1:13" x14ac:dyDescent="0.25">
      <c r="A2156">
        <v>2021</v>
      </c>
      <c r="B2156" t="s">
        <v>259</v>
      </c>
      <c r="C2156">
        <v>55093</v>
      </c>
      <c r="D2156" t="s">
        <v>279</v>
      </c>
      <c r="E2156" t="s">
        <v>287</v>
      </c>
      <c r="F2156" t="s">
        <v>293</v>
      </c>
      <c r="G2156" t="s">
        <v>300</v>
      </c>
      <c r="H2156">
        <v>55478.373825263698</v>
      </c>
      <c r="I2156" t="s">
        <v>301</v>
      </c>
      <c r="J2156" t="s">
        <v>291</v>
      </c>
      <c r="K2156">
        <v>42204</v>
      </c>
      <c r="L2156" t="s">
        <v>286</v>
      </c>
      <c r="M2156">
        <v>1.31</v>
      </c>
    </row>
    <row r="2157" spans="1:13" x14ac:dyDescent="0.25">
      <c r="A2157">
        <v>2021</v>
      </c>
      <c r="B2157" t="s">
        <v>259</v>
      </c>
      <c r="C2157">
        <v>55093</v>
      </c>
      <c r="D2157" t="s">
        <v>279</v>
      </c>
      <c r="E2157" t="s">
        <v>287</v>
      </c>
      <c r="F2157" t="s">
        <v>297</v>
      </c>
      <c r="G2157" t="s">
        <v>300</v>
      </c>
      <c r="H2157">
        <v>22819.199232196399</v>
      </c>
      <c r="I2157" t="s">
        <v>301</v>
      </c>
      <c r="J2157" t="s">
        <v>291</v>
      </c>
      <c r="K2157">
        <v>42204</v>
      </c>
      <c r="L2157" t="s">
        <v>286</v>
      </c>
      <c r="M2157">
        <v>0.54</v>
      </c>
    </row>
    <row r="2158" spans="1:13" x14ac:dyDescent="0.25">
      <c r="A2158">
        <v>2021</v>
      </c>
      <c r="B2158" t="s">
        <v>259</v>
      </c>
      <c r="C2158">
        <v>55093</v>
      </c>
      <c r="D2158" t="s">
        <v>279</v>
      </c>
      <c r="E2158" t="s">
        <v>287</v>
      </c>
      <c r="F2158" t="s">
        <v>298</v>
      </c>
      <c r="G2158" t="s">
        <v>300</v>
      </c>
      <c r="H2158">
        <v>8205.5838299901498</v>
      </c>
      <c r="I2158" t="s">
        <v>301</v>
      </c>
      <c r="J2158" t="s">
        <v>291</v>
      </c>
      <c r="K2158">
        <v>42204</v>
      </c>
      <c r="L2158" t="s">
        <v>286</v>
      </c>
      <c r="M2158">
        <v>0.19</v>
      </c>
    </row>
    <row r="2159" spans="1:13" x14ac:dyDescent="0.25">
      <c r="A2159">
        <v>2021</v>
      </c>
      <c r="B2159" t="s">
        <v>259</v>
      </c>
      <c r="C2159">
        <v>55093</v>
      </c>
      <c r="D2159" t="s">
        <v>279</v>
      </c>
      <c r="E2159" t="s">
        <v>287</v>
      </c>
      <c r="F2159" t="s">
        <v>299</v>
      </c>
      <c r="G2159" t="s">
        <v>300</v>
      </c>
      <c r="H2159">
        <v>24453.5907630771</v>
      </c>
      <c r="I2159" t="s">
        <v>301</v>
      </c>
      <c r="J2159" t="s">
        <v>291</v>
      </c>
      <c r="K2159">
        <v>42204</v>
      </c>
      <c r="L2159" t="s">
        <v>286</v>
      </c>
      <c r="M2159">
        <v>0.57999999999999996</v>
      </c>
    </row>
    <row r="2160" spans="1:13" x14ac:dyDescent="0.25">
      <c r="A2160">
        <v>2005</v>
      </c>
      <c r="B2160" t="s">
        <v>259</v>
      </c>
      <c r="C2160">
        <v>55109</v>
      </c>
      <c r="D2160" t="s">
        <v>280</v>
      </c>
      <c r="E2160" t="s">
        <v>287</v>
      </c>
      <c r="F2160" t="s">
        <v>293</v>
      </c>
      <c r="G2160" t="s">
        <v>300</v>
      </c>
      <c r="H2160">
        <v>165280.279165221</v>
      </c>
      <c r="I2160" t="s">
        <v>301</v>
      </c>
      <c r="J2160" t="s">
        <v>291</v>
      </c>
      <c r="K2160">
        <v>77061</v>
      </c>
      <c r="L2160" t="s">
        <v>266</v>
      </c>
      <c r="M2160">
        <v>2.14</v>
      </c>
    </row>
    <row r="2161" spans="1:13" x14ac:dyDescent="0.25">
      <c r="A2161">
        <v>2005</v>
      </c>
      <c r="B2161" t="s">
        <v>259</v>
      </c>
      <c r="C2161">
        <v>55109</v>
      </c>
      <c r="D2161" t="s">
        <v>280</v>
      </c>
      <c r="E2161" t="s">
        <v>287</v>
      </c>
      <c r="F2161" t="s">
        <v>297</v>
      </c>
      <c r="G2161" t="s">
        <v>300</v>
      </c>
      <c r="H2161" t="s">
        <v>10</v>
      </c>
      <c r="I2161" t="s">
        <v>301</v>
      </c>
      <c r="J2161" t="s">
        <v>291</v>
      </c>
      <c r="K2161">
        <v>77061</v>
      </c>
      <c r="L2161" t="s">
        <v>266</v>
      </c>
      <c r="M2161" t="s">
        <v>10</v>
      </c>
    </row>
    <row r="2162" spans="1:13" x14ac:dyDescent="0.25">
      <c r="A2162">
        <v>2005</v>
      </c>
      <c r="B2162" t="s">
        <v>259</v>
      </c>
      <c r="C2162">
        <v>55109</v>
      </c>
      <c r="D2162" t="s">
        <v>280</v>
      </c>
      <c r="E2162" t="s">
        <v>287</v>
      </c>
      <c r="F2162" t="s">
        <v>298</v>
      </c>
      <c r="G2162" t="s">
        <v>300</v>
      </c>
      <c r="H2162" t="s">
        <v>10</v>
      </c>
      <c r="I2162" t="s">
        <v>301</v>
      </c>
      <c r="J2162" t="s">
        <v>291</v>
      </c>
      <c r="K2162">
        <v>77061</v>
      </c>
      <c r="L2162" t="s">
        <v>266</v>
      </c>
      <c r="M2162" t="s">
        <v>10</v>
      </c>
    </row>
    <row r="2163" spans="1:13" x14ac:dyDescent="0.25">
      <c r="A2163">
        <v>2005</v>
      </c>
      <c r="B2163" t="s">
        <v>259</v>
      </c>
      <c r="C2163">
        <v>55109</v>
      </c>
      <c r="D2163" t="s">
        <v>280</v>
      </c>
      <c r="E2163" t="s">
        <v>287</v>
      </c>
      <c r="F2163" t="s">
        <v>299</v>
      </c>
      <c r="G2163" t="s">
        <v>300</v>
      </c>
      <c r="H2163" t="s">
        <v>10</v>
      </c>
      <c r="I2163" t="s">
        <v>301</v>
      </c>
      <c r="J2163" t="s">
        <v>291</v>
      </c>
      <c r="K2163">
        <v>77061</v>
      </c>
      <c r="L2163" t="s">
        <v>266</v>
      </c>
      <c r="M2163" t="s">
        <v>10</v>
      </c>
    </row>
    <row r="2164" spans="1:13" x14ac:dyDescent="0.25">
      <c r="A2164">
        <v>2021</v>
      </c>
      <c r="B2164" t="s">
        <v>259</v>
      </c>
      <c r="C2164">
        <v>55109</v>
      </c>
      <c r="D2164" t="s">
        <v>280</v>
      </c>
      <c r="E2164" t="s">
        <v>287</v>
      </c>
      <c r="F2164" t="s">
        <v>293</v>
      </c>
      <c r="G2164" t="s">
        <v>300</v>
      </c>
      <c r="H2164">
        <v>213403.15214302501</v>
      </c>
      <c r="I2164" t="s">
        <v>301</v>
      </c>
      <c r="J2164" t="s">
        <v>291</v>
      </c>
      <c r="K2164">
        <v>92495</v>
      </c>
      <c r="L2164" t="s">
        <v>286</v>
      </c>
      <c r="M2164">
        <v>2.31</v>
      </c>
    </row>
    <row r="2165" spans="1:13" x14ac:dyDescent="0.25">
      <c r="A2165">
        <v>2021</v>
      </c>
      <c r="B2165" t="s">
        <v>259</v>
      </c>
      <c r="C2165">
        <v>55109</v>
      </c>
      <c r="D2165" t="s">
        <v>280</v>
      </c>
      <c r="E2165" t="s">
        <v>287</v>
      </c>
      <c r="F2165" t="s">
        <v>297</v>
      </c>
      <c r="G2165" t="s">
        <v>300</v>
      </c>
      <c r="H2165">
        <v>84165.3990908462</v>
      </c>
      <c r="I2165" t="s">
        <v>301</v>
      </c>
      <c r="J2165" t="s">
        <v>291</v>
      </c>
      <c r="K2165">
        <v>92495</v>
      </c>
      <c r="L2165" t="s">
        <v>286</v>
      </c>
      <c r="M2165">
        <v>0.91</v>
      </c>
    </row>
    <row r="2166" spans="1:13" x14ac:dyDescent="0.25">
      <c r="A2166">
        <v>2021</v>
      </c>
      <c r="B2166" t="s">
        <v>259</v>
      </c>
      <c r="C2166">
        <v>55109</v>
      </c>
      <c r="D2166" t="s">
        <v>280</v>
      </c>
      <c r="E2166" t="s">
        <v>287</v>
      </c>
      <c r="F2166" t="s">
        <v>298</v>
      </c>
      <c r="G2166" t="s">
        <v>300</v>
      </c>
      <c r="H2166">
        <v>43891.245152054602</v>
      </c>
      <c r="I2166" t="s">
        <v>301</v>
      </c>
      <c r="J2166" t="s">
        <v>291</v>
      </c>
      <c r="K2166">
        <v>92495</v>
      </c>
      <c r="L2166" t="s">
        <v>286</v>
      </c>
      <c r="M2166">
        <v>0.47</v>
      </c>
    </row>
    <row r="2167" spans="1:13" x14ac:dyDescent="0.25">
      <c r="A2167">
        <v>2021</v>
      </c>
      <c r="B2167" t="s">
        <v>259</v>
      </c>
      <c r="C2167">
        <v>55109</v>
      </c>
      <c r="D2167" t="s">
        <v>280</v>
      </c>
      <c r="E2167" t="s">
        <v>287</v>
      </c>
      <c r="F2167" t="s">
        <v>299</v>
      </c>
      <c r="G2167" t="s">
        <v>300</v>
      </c>
      <c r="H2167">
        <v>85346.507900124096</v>
      </c>
      <c r="I2167" t="s">
        <v>301</v>
      </c>
      <c r="J2167" t="s">
        <v>291</v>
      </c>
      <c r="K2167">
        <v>92495</v>
      </c>
      <c r="L2167" t="s">
        <v>286</v>
      </c>
      <c r="M2167">
        <v>0.92</v>
      </c>
    </row>
    <row r="2168" spans="1:13" x14ac:dyDescent="0.25">
      <c r="A2168">
        <v>2021</v>
      </c>
      <c r="B2168" t="s">
        <v>259</v>
      </c>
      <c r="C2168">
        <v>55093</v>
      </c>
      <c r="D2168" t="s">
        <v>279</v>
      </c>
      <c r="E2168" t="s">
        <v>302</v>
      </c>
      <c r="F2168" t="s">
        <v>303</v>
      </c>
      <c r="G2168" t="s">
        <v>303</v>
      </c>
      <c r="H2168">
        <v>4097.0144563863596</v>
      </c>
      <c r="I2168" t="s">
        <v>304</v>
      </c>
      <c r="J2168" t="s">
        <v>304</v>
      </c>
      <c r="K2168">
        <v>42204</v>
      </c>
      <c r="L2168" t="s">
        <v>286</v>
      </c>
      <c r="M2168">
        <v>0.1</v>
      </c>
    </row>
    <row r="2169" spans="1:13" x14ac:dyDescent="0.25">
      <c r="A2169">
        <v>2021</v>
      </c>
      <c r="B2169" t="s">
        <v>259</v>
      </c>
      <c r="C2169">
        <v>55109</v>
      </c>
      <c r="D2169" t="s">
        <v>280</v>
      </c>
      <c r="E2169" t="s">
        <v>302</v>
      </c>
      <c r="F2169" t="s">
        <v>303</v>
      </c>
      <c r="G2169" t="s">
        <v>303</v>
      </c>
      <c r="H2169">
        <v>8979.0861563704002</v>
      </c>
      <c r="I2169" t="s">
        <v>304</v>
      </c>
      <c r="J2169" t="s">
        <v>304</v>
      </c>
      <c r="K2169">
        <v>92495</v>
      </c>
      <c r="L2169" t="s">
        <v>286</v>
      </c>
      <c r="M2169">
        <v>0.1</v>
      </c>
    </row>
    <row r="2170" spans="1:13" x14ac:dyDescent="0.25">
      <c r="A2170">
        <v>2021</v>
      </c>
      <c r="B2170" t="s">
        <v>259</v>
      </c>
      <c r="C2170">
        <v>27003</v>
      </c>
      <c r="D2170" t="s">
        <v>260</v>
      </c>
      <c r="E2170" t="s">
        <v>302</v>
      </c>
      <c r="F2170" t="s">
        <v>303</v>
      </c>
      <c r="G2170" t="s">
        <v>303</v>
      </c>
      <c r="H2170">
        <v>34992.704311034402</v>
      </c>
      <c r="I2170" t="s">
        <v>304</v>
      </c>
      <c r="J2170" t="s">
        <v>304</v>
      </c>
      <c r="K2170">
        <v>360773</v>
      </c>
      <c r="L2170" t="s">
        <v>286</v>
      </c>
      <c r="M2170">
        <v>0.1</v>
      </c>
    </row>
    <row r="2171" spans="1:13" x14ac:dyDescent="0.25">
      <c r="A2171">
        <v>2021</v>
      </c>
      <c r="B2171" t="s">
        <v>259</v>
      </c>
      <c r="C2171">
        <v>27019</v>
      </c>
      <c r="D2171" t="s">
        <v>271</v>
      </c>
      <c r="E2171" t="s">
        <v>302</v>
      </c>
      <c r="F2171" t="s">
        <v>303</v>
      </c>
      <c r="G2171" t="s">
        <v>303</v>
      </c>
      <c r="H2171">
        <v>10251.651008946001</v>
      </c>
      <c r="I2171" t="s">
        <v>304</v>
      </c>
      <c r="J2171" t="s">
        <v>304</v>
      </c>
      <c r="K2171">
        <v>105694</v>
      </c>
      <c r="L2171" t="s">
        <v>286</v>
      </c>
      <c r="M2171">
        <v>0.1</v>
      </c>
    </row>
    <row r="2172" spans="1:13" x14ac:dyDescent="0.25">
      <c r="A2172">
        <v>2021</v>
      </c>
      <c r="B2172" t="s">
        <v>259</v>
      </c>
      <c r="C2172">
        <v>27025</v>
      </c>
      <c r="D2172" t="s">
        <v>272</v>
      </c>
      <c r="E2172" t="s">
        <v>302</v>
      </c>
      <c r="F2172" t="s">
        <v>303</v>
      </c>
      <c r="G2172" t="s">
        <v>303</v>
      </c>
      <c r="H2172">
        <v>5463.4605373238801</v>
      </c>
      <c r="I2172" t="s">
        <v>304</v>
      </c>
      <c r="J2172" t="s">
        <v>304</v>
      </c>
      <c r="K2172">
        <v>56328</v>
      </c>
      <c r="L2172" t="s">
        <v>286</v>
      </c>
      <c r="M2172">
        <v>0.1</v>
      </c>
    </row>
    <row r="2173" spans="1:13" x14ac:dyDescent="0.25">
      <c r="A2173">
        <v>2021</v>
      </c>
      <c r="B2173" t="s">
        <v>259</v>
      </c>
      <c r="C2173">
        <v>27037</v>
      </c>
      <c r="D2173" t="s">
        <v>273</v>
      </c>
      <c r="E2173" t="s">
        <v>302</v>
      </c>
      <c r="F2173" t="s">
        <v>303</v>
      </c>
      <c r="G2173" t="s">
        <v>303</v>
      </c>
      <c r="H2173">
        <v>42275.960449147802</v>
      </c>
      <c r="I2173" t="s">
        <v>304</v>
      </c>
      <c r="J2173" t="s">
        <v>304</v>
      </c>
      <c r="K2173">
        <v>435863</v>
      </c>
      <c r="L2173" t="s">
        <v>286</v>
      </c>
      <c r="M2173">
        <v>0.1</v>
      </c>
    </row>
    <row r="2174" spans="1:13" x14ac:dyDescent="0.25">
      <c r="A2174">
        <v>2021</v>
      </c>
      <c r="B2174" t="s">
        <v>259</v>
      </c>
      <c r="C2174">
        <v>27053</v>
      </c>
      <c r="D2174" t="s">
        <v>274</v>
      </c>
      <c r="E2174" t="s">
        <v>302</v>
      </c>
      <c r="F2174" t="s">
        <v>303</v>
      </c>
      <c r="G2174" t="s">
        <v>303</v>
      </c>
      <c r="H2174">
        <v>123209.43477015699</v>
      </c>
      <c r="I2174" t="s">
        <v>304</v>
      </c>
      <c r="J2174" t="s">
        <v>304</v>
      </c>
      <c r="K2174">
        <v>1270283</v>
      </c>
      <c r="L2174" t="s">
        <v>286</v>
      </c>
      <c r="M2174">
        <v>0.1</v>
      </c>
    </row>
    <row r="2175" spans="1:13" x14ac:dyDescent="0.25">
      <c r="A2175">
        <v>2021</v>
      </c>
      <c r="B2175" t="s">
        <v>259</v>
      </c>
      <c r="C2175">
        <v>27123</v>
      </c>
      <c r="D2175" t="s">
        <v>275</v>
      </c>
      <c r="E2175" t="s">
        <v>302</v>
      </c>
      <c r="F2175" t="s">
        <v>303</v>
      </c>
      <c r="G2175" t="s">
        <v>303</v>
      </c>
      <c r="H2175">
        <v>53286.102109312902</v>
      </c>
      <c r="I2175" t="s">
        <v>304</v>
      </c>
      <c r="J2175" t="s">
        <v>304</v>
      </c>
      <c r="K2175">
        <v>549377</v>
      </c>
      <c r="L2175" t="s">
        <v>286</v>
      </c>
      <c r="M2175">
        <v>0.1</v>
      </c>
    </row>
    <row r="2176" spans="1:13" x14ac:dyDescent="0.25">
      <c r="A2176">
        <v>2021</v>
      </c>
      <c r="B2176" t="s">
        <v>259</v>
      </c>
      <c r="C2176">
        <v>27139</v>
      </c>
      <c r="D2176" t="s">
        <v>276</v>
      </c>
      <c r="E2176" t="s">
        <v>302</v>
      </c>
      <c r="F2176" t="s">
        <v>303</v>
      </c>
      <c r="G2176" t="s">
        <v>303</v>
      </c>
      <c r="H2176">
        <v>14507.1521383052</v>
      </c>
      <c r="I2176" t="s">
        <v>304</v>
      </c>
      <c r="J2176" t="s">
        <v>304</v>
      </c>
      <c r="K2176">
        <v>149568</v>
      </c>
      <c r="L2176" t="s">
        <v>286</v>
      </c>
      <c r="M2176">
        <v>0.1</v>
      </c>
    </row>
    <row r="2177" spans="1:13" x14ac:dyDescent="0.25">
      <c r="A2177">
        <v>2021</v>
      </c>
      <c r="B2177" t="s">
        <v>259</v>
      </c>
      <c r="C2177">
        <v>27141</v>
      </c>
      <c r="D2177" t="s">
        <v>277</v>
      </c>
      <c r="E2177" t="s">
        <v>302</v>
      </c>
      <c r="F2177" t="s">
        <v>303</v>
      </c>
      <c r="G2177" t="s">
        <v>303</v>
      </c>
      <c r="H2177">
        <v>9340.0073221417897</v>
      </c>
      <c r="I2177" t="s">
        <v>304</v>
      </c>
      <c r="J2177" t="s">
        <v>304</v>
      </c>
      <c r="K2177">
        <v>96295</v>
      </c>
      <c r="L2177" t="s">
        <v>286</v>
      </c>
      <c r="M2177">
        <v>0.1</v>
      </c>
    </row>
    <row r="2178" spans="1:13" x14ac:dyDescent="0.25">
      <c r="A2178">
        <v>2021</v>
      </c>
      <c r="B2178" t="s">
        <v>259</v>
      </c>
      <c r="C2178">
        <v>27163</v>
      </c>
      <c r="D2178" t="s">
        <v>278</v>
      </c>
      <c r="E2178" t="s">
        <v>302</v>
      </c>
      <c r="F2178" t="s">
        <v>303</v>
      </c>
      <c r="G2178" t="s">
        <v>303</v>
      </c>
      <c r="H2178">
        <v>25685.674843293498</v>
      </c>
      <c r="I2178" t="s">
        <v>304</v>
      </c>
      <c r="J2178" t="s">
        <v>304</v>
      </c>
      <c r="K2178">
        <v>264818</v>
      </c>
      <c r="L2178" t="s">
        <v>286</v>
      </c>
      <c r="M2178">
        <v>0.1</v>
      </c>
    </row>
    <row r="2179" spans="1:13" x14ac:dyDescent="0.25">
      <c r="A2179">
        <v>2021</v>
      </c>
      <c r="B2179" t="s">
        <v>259</v>
      </c>
      <c r="C2179">
        <v>27003</v>
      </c>
      <c r="D2179" t="s">
        <v>260</v>
      </c>
      <c r="E2179" t="s">
        <v>302</v>
      </c>
      <c r="F2179" t="s">
        <v>305</v>
      </c>
      <c r="G2179" t="s">
        <v>306</v>
      </c>
      <c r="H2179">
        <v>97421.901199999993</v>
      </c>
      <c r="I2179" t="s">
        <v>307</v>
      </c>
      <c r="J2179" t="s">
        <v>291</v>
      </c>
      <c r="K2179">
        <v>360773</v>
      </c>
      <c r="L2179" t="s">
        <v>286</v>
      </c>
      <c r="M2179">
        <v>0.27</v>
      </c>
    </row>
    <row r="2180" spans="1:13" x14ac:dyDescent="0.25">
      <c r="A2180">
        <v>2021</v>
      </c>
      <c r="B2180" t="s">
        <v>259</v>
      </c>
      <c r="C2180">
        <v>27019</v>
      </c>
      <c r="D2180" t="s">
        <v>271</v>
      </c>
      <c r="E2180" t="s">
        <v>302</v>
      </c>
      <c r="F2180" t="s">
        <v>305</v>
      </c>
      <c r="G2180" t="s">
        <v>306</v>
      </c>
      <c r="H2180">
        <v>29198</v>
      </c>
      <c r="I2180" t="s">
        <v>307</v>
      </c>
      <c r="J2180" t="s">
        <v>291</v>
      </c>
      <c r="K2180">
        <v>105694</v>
      </c>
      <c r="L2180" t="s">
        <v>286</v>
      </c>
      <c r="M2180">
        <v>0.28000000000000003</v>
      </c>
    </row>
    <row r="2181" spans="1:13" x14ac:dyDescent="0.25">
      <c r="A2181">
        <v>2021</v>
      </c>
      <c r="B2181" t="s">
        <v>259</v>
      </c>
      <c r="C2181">
        <v>27025</v>
      </c>
      <c r="D2181" t="s">
        <v>272</v>
      </c>
      <c r="E2181" t="s">
        <v>302</v>
      </c>
      <c r="F2181" t="s">
        <v>305</v>
      </c>
      <c r="G2181" t="s">
        <v>306</v>
      </c>
      <c r="H2181">
        <v>20457.7412</v>
      </c>
      <c r="I2181" t="s">
        <v>307</v>
      </c>
      <c r="J2181" t="s">
        <v>291</v>
      </c>
      <c r="K2181">
        <v>56328</v>
      </c>
      <c r="L2181" t="s">
        <v>286</v>
      </c>
      <c r="M2181">
        <v>0.36</v>
      </c>
    </row>
    <row r="2182" spans="1:13" x14ac:dyDescent="0.25">
      <c r="A2182">
        <v>2021</v>
      </c>
      <c r="B2182" t="s">
        <v>259</v>
      </c>
      <c r="C2182">
        <v>27037</v>
      </c>
      <c r="D2182" t="s">
        <v>273</v>
      </c>
      <c r="E2182" t="s">
        <v>302</v>
      </c>
      <c r="F2182" t="s">
        <v>305</v>
      </c>
      <c r="G2182" t="s">
        <v>306</v>
      </c>
      <c r="H2182">
        <v>117934.0916</v>
      </c>
      <c r="I2182" t="s">
        <v>307</v>
      </c>
      <c r="J2182" t="s">
        <v>291</v>
      </c>
      <c r="K2182">
        <v>435863</v>
      </c>
      <c r="L2182" t="s">
        <v>286</v>
      </c>
      <c r="M2182">
        <v>0.27</v>
      </c>
    </row>
    <row r="2183" spans="1:13" x14ac:dyDescent="0.25">
      <c r="A2183">
        <v>2021</v>
      </c>
      <c r="B2183" t="s">
        <v>259</v>
      </c>
      <c r="C2183">
        <v>27053</v>
      </c>
      <c r="D2183" t="s">
        <v>274</v>
      </c>
      <c r="E2183" t="s">
        <v>302</v>
      </c>
      <c r="F2183" t="s">
        <v>305</v>
      </c>
      <c r="G2183" t="s">
        <v>306</v>
      </c>
      <c r="H2183">
        <v>229938.0772</v>
      </c>
      <c r="I2183" t="s">
        <v>307</v>
      </c>
      <c r="J2183" t="s">
        <v>291</v>
      </c>
      <c r="K2183">
        <v>1270283</v>
      </c>
      <c r="L2183" t="s">
        <v>286</v>
      </c>
      <c r="M2183">
        <v>0.18</v>
      </c>
    </row>
    <row r="2184" spans="1:13" x14ac:dyDescent="0.25">
      <c r="A2184">
        <v>2021</v>
      </c>
      <c r="B2184" t="s">
        <v>259</v>
      </c>
      <c r="C2184">
        <v>27123</v>
      </c>
      <c r="D2184" t="s">
        <v>275</v>
      </c>
      <c r="E2184" t="s">
        <v>302</v>
      </c>
      <c r="F2184" t="s">
        <v>305</v>
      </c>
      <c r="G2184" t="s">
        <v>306</v>
      </c>
      <c r="H2184">
        <v>42481.919999999998</v>
      </c>
      <c r="I2184" t="s">
        <v>307</v>
      </c>
      <c r="J2184" t="s">
        <v>291</v>
      </c>
      <c r="K2184">
        <v>549377</v>
      </c>
      <c r="L2184" t="s">
        <v>286</v>
      </c>
      <c r="M2184">
        <v>0.08</v>
      </c>
    </row>
    <row r="2185" spans="1:13" x14ac:dyDescent="0.25">
      <c r="A2185">
        <v>2021</v>
      </c>
      <c r="B2185" t="s">
        <v>259</v>
      </c>
      <c r="C2185">
        <v>27139</v>
      </c>
      <c r="D2185" t="s">
        <v>276</v>
      </c>
      <c r="E2185" t="s">
        <v>302</v>
      </c>
      <c r="F2185" t="s">
        <v>305</v>
      </c>
      <c r="G2185" t="s">
        <v>306</v>
      </c>
      <c r="H2185">
        <v>40439.318399999996</v>
      </c>
      <c r="I2185" t="s">
        <v>307</v>
      </c>
      <c r="J2185" t="s">
        <v>291</v>
      </c>
      <c r="K2185">
        <v>149568</v>
      </c>
      <c r="L2185" t="s">
        <v>286</v>
      </c>
      <c r="M2185">
        <v>0.27</v>
      </c>
    </row>
    <row r="2186" spans="1:13" x14ac:dyDescent="0.25">
      <c r="A2186">
        <v>2021</v>
      </c>
      <c r="B2186" t="s">
        <v>259</v>
      </c>
      <c r="C2186">
        <v>27141</v>
      </c>
      <c r="D2186" t="s">
        <v>277</v>
      </c>
      <c r="E2186" t="s">
        <v>302</v>
      </c>
      <c r="F2186" t="s">
        <v>305</v>
      </c>
      <c r="G2186" t="s">
        <v>306</v>
      </c>
      <c r="H2186">
        <v>20153.227640000001</v>
      </c>
      <c r="I2186" t="s">
        <v>307</v>
      </c>
      <c r="J2186" t="s">
        <v>291</v>
      </c>
      <c r="K2186">
        <v>96295</v>
      </c>
      <c r="L2186" t="s">
        <v>286</v>
      </c>
      <c r="M2186">
        <v>0.21</v>
      </c>
    </row>
    <row r="2187" spans="1:13" x14ac:dyDescent="0.25">
      <c r="A2187">
        <v>2021</v>
      </c>
      <c r="B2187" t="s">
        <v>259</v>
      </c>
      <c r="C2187">
        <v>27163</v>
      </c>
      <c r="D2187" t="s">
        <v>278</v>
      </c>
      <c r="E2187" t="s">
        <v>302</v>
      </c>
      <c r="F2187" t="s">
        <v>305</v>
      </c>
      <c r="G2187" t="s">
        <v>306</v>
      </c>
      <c r="H2187">
        <v>15712.476000000001</v>
      </c>
      <c r="I2187" t="s">
        <v>307</v>
      </c>
      <c r="J2187" t="s">
        <v>291</v>
      </c>
      <c r="K2187">
        <v>264818</v>
      </c>
      <c r="L2187" t="s">
        <v>286</v>
      </c>
      <c r="M2187">
        <v>0.06</v>
      </c>
    </row>
    <row r="2188" spans="1:13" x14ac:dyDescent="0.25">
      <c r="A2188">
        <v>2021</v>
      </c>
      <c r="B2188" t="s">
        <v>259</v>
      </c>
      <c r="C2188">
        <v>27003</v>
      </c>
      <c r="D2188" t="s">
        <v>260</v>
      </c>
      <c r="E2188" t="s">
        <v>302</v>
      </c>
      <c r="F2188" t="s">
        <v>305</v>
      </c>
      <c r="G2188" t="s">
        <v>308</v>
      </c>
      <c r="H2188">
        <v>7561.6646000000001</v>
      </c>
      <c r="I2188" t="s">
        <v>307</v>
      </c>
      <c r="J2188" t="s">
        <v>291</v>
      </c>
      <c r="K2188">
        <v>360773</v>
      </c>
      <c r="L2188" t="s">
        <v>286</v>
      </c>
      <c r="M2188">
        <v>0.02</v>
      </c>
    </row>
    <row r="2189" spans="1:13" x14ac:dyDescent="0.25">
      <c r="A2189">
        <v>2021</v>
      </c>
      <c r="B2189" t="s">
        <v>259</v>
      </c>
      <c r="C2189">
        <v>27019</v>
      </c>
      <c r="D2189" t="s">
        <v>271</v>
      </c>
      <c r="E2189" t="s">
        <v>302</v>
      </c>
      <c r="F2189" t="s">
        <v>305</v>
      </c>
      <c r="G2189" t="s">
        <v>308</v>
      </c>
      <c r="H2189">
        <v>4809.3374000000003</v>
      </c>
      <c r="I2189" t="s">
        <v>307</v>
      </c>
      <c r="J2189" t="s">
        <v>291</v>
      </c>
      <c r="K2189">
        <v>105694</v>
      </c>
      <c r="L2189" t="s">
        <v>286</v>
      </c>
      <c r="M2189">
        <v>0.05</v>
      </c>
    </row>
    <row r="2190" spans="1:13" x14ac:dyDescent="0.25">
      <c r="A2190">
        <v>2021</v>
      </c>
      <c r="B2190" t="s">
        <v>259</v>
      </c>
      <c r="C2190">
        <v>27025</v>
      </c>
      <c r="D2190" t="s">
        <v>272</v>
      </c>
      <c r="E2190" t="s">
        <v>302</v>
      </c>
      <c r="F2190" t="s">
        <v>305</v>
      </c>
      <c r="G2190" t="s">
        <v>308</v>
      </c>
      <c r="H2190">
        <v>1224.4368999999999</v>
      </c>
      <c r="I2190" t="s">
        <v>307</v>
      </c>
      <c r="J2190" t="s">
        <v>291</v>
      </c>
      <c r="K2190">
        <v>56328</v>
      </c>
      <c r="L2190" t="s">
        <v>286</v>
      </c>
      <c r="M2190">
        <v>0.02</v>
      </c>
    </row>
    <row r="2191" spans="1:13" x14ac:dyDescent="0.25">
      <c r="A2191">
        <v>2021</v>
      </c>
      <c r="B2191" t="s">
        <v>259</v>
      </c>
      <c r="C2191">
        <v>27037</v>
      </c>
      <c r="D2191" t="s">
        <v>273</v>
      </c>
      <c r="E2191" t="s">
        <v>302</v>
      </c>
      <c r="F2191" t="s">
        <v>305</v>
      </c>
      <c r="G2191" t="s">
        <v>308</v>
      </c>
      <c r="H2191">
        <v>23737.404299999998</v>
      </c>
      <c r="I2191" t="s">
        <v>307</v>
      </c>
      <c r="J2191" t="s">
        <v>291</v>
      </c>
      <c r="K2191">
        <v>435863</v>
      </c>
      <c r="L2191" t="s">
        <v>286</v>
      </c>
      <c r="M2191">
        <v>0.05</v>
      </c>
    </row>
    <row r="2192" spans="1:13" x14ac:dyDescent="0.25">
      <c r="A2192">
        <v>2021</v>
      </c>
      <c r="B2192" t="s">
        <v>259</v>
      </c>
      <c r="C2192">
        <v>27053</v>
      </c>
      <c r="D2192" t="s">
        <v>274</v>
      </c>
      <c r="E2192" t="s">
        <v>302</v>
      </c>
      <c r="F2192" t="s">
        <v>305</v>
      </c>
      <c r="G2192" t="s">
        <v>308</v>
      </c>
      <c r="H2192">
        <v>27869.922399999999</v>
      </c>
      <c r="I2192" t="s">
        <v>307</v>
      </c>
      <c r="J2192" t="s">
        <v>291</v>
      </c>
      <c r="K2192">
        <v>1270283</v>
      </c>
      <c r="L2192" t="s">
        <v>286</v>
      </c>
      <c r="M2192">
        <v>0.02</v>
      </c>
    </row>
    <row r="2193" spans="1:13" x14ac:dyDescent="0.25">
      <c r="A2193">
        <v>2021</v>
      </c>
      <c r="B2193" t="s">
        <v>259</v>
      </c>
      <c r="C2193">
        <v>27123</v>
      </c>
      <c r="D2193" t="s">
        <v>275</v>
      </c>
      <c r="E2193" t="s">
        <v>302</v>
      </c>
      <c r="F2193" t="s">
        <v>305</v>
      </c>
      <c r="G2193" t="s">
        <v>308</v>
      </c>
      <c r="H2193">
        <v>18024.812699999999</v>
      </c>
      <c r="I2193" t="s">
        <v>307</v>
      </c>
      <c r="J2193" t="s">
        <v>291</v>
      </c>
      <c r="K2193">
        <v>549377</v>
      </c>
      <c r="L2193" t="s">
        <v>286</v>
      </c>
      <c r="M2193">
        <v>0.03</v>
      </c>
    </row>
    <row r="2194" spans="1:13" x14ac:dyDescent="0.25">
      <c r="A2194">
        <v>2021</v>
      </c>
      <c r="B2194" t="s">
        <v>259</v>
      </c>
      <c r="C2194">
        <v>27139</v>
      </c>
      <c r="D2194" t="s">
        <v>276</v>
      </c>
      <c r="E2194" t="s">
        <v>302</v>
      </c>
      <c r="F2194" t="s">
        <v>305</v>
      </c>
      <c r="G2194" t="s">
        <v>308</v>
      </c>
      <c r="H2194">
        <v>5100.1071000000002</v>
      </c>
      <c r="I2194" t="s">
        <v>307</v>
      </c>
      <c r="J2194" t="s">
        <v>291</v>
      </c>
      <c r="K2194">
        <v>149568</v>
      </c>
      <c r="L2194" t="s">
        <v>286</v>
      </c>
      <c r="M2194">
        <v>0.03</v>
      </c>
    </row>
    <row r="2195" spans="1:13" x14ac:dyDescent="0.25">
      <c r="A2195">
        <v>2021</v>
      </c>
      <c r="B2195" t="s">
        <v>259</v>
      </c>
      <c r="C2195">
        <v>27141</v>
      </c>
      <c r="D2195" t="s">
        <v>277</v>
      </c>
      <c r="E2195" t="s">
        <v>302</v>
      </c>
      <c r="F2195" t="s">
        <v>305</v>
      </c>
      <c r="G2195" t="s">
        <v>308</v>
      </c>
      <c r="H2195">
        <v>1133.0398</v>
      </c>
      <c r="I2195" t="s">
        <v>307</v>
      </c>
      <c r="J2195" t="s">
        <v>291</v>
      </c>
      <c r="K2195">
        <v>96295</v>
      </c>
      <c r="L2195" t="s">
        <v>286</v>
      </c>
      <c r="M2195">
        <v>0.01</v>
      </c>
    </row>
    <row r="2196" spans="1:13" x14ac:dyDescent="0.25">
      <c r="A2196">
        <v>2021</v>
      </c>
      <c r="B2196" t="s">
        <v>259</v>
      </c>
      <c r="C2196">
        <v>27163</v>
      </c>
      <c r="D2196" t="s">
        <v>278</v>
      </c>
      <c r="E2196" t="s">
        <v>302</v>
      </c>
      <c r="F2196" t="s">
        <v>305</v>
      </c>
      <c r="G2196" t="s">
        <v>308</v>
      </c>
      <c r="H2196">
        <v>6045.0725000000002</v>
      </c>
      <c r="I2196" t="s">
        <v>307</v>
      </c>
      <c r="J2196" t="s">
        <v>291</v>
      </c>
      <c r="K2196">
        <v>264818</v>
      </c>
      <c r="L2196" t="s">
        <v>286</v>
      </c>
      <c r="M2196">
        <v>0.02</v>
      </c>
    </row>
    <row r="2197" spans="1:13" x14ac:dyDescent="0.25">
      <c r="A2197">
        <v>2021</v>
      </c>
      <c r="B2197" t="s">
        <v>259</v>
      </c>
      <c r="C2197">
        <v>27003</v>
      </c>
      <c r="D2197" t="s">
        <v>260</v>
      </c>
      <c r="E2197" t="s">
        <v>302</v>
      </c>
      <c r="F2197" t="s">
        <v>305</v>
      </c>
      <c r="G2197" t="s">
        <v>309</v>
      </c>
      <c r="H2197">
        <v>17823.272400000002</v>
      </c>
      <c r="I2197" t="s">
        <v>307</v>
      </c>
      <c r="J2197" t="s">
        <v>291</v>
      </c>
      <c r="K2197">
        <v>360773</v>
      </c>
      <c r="L2197" t="s">
        <v>286</v>
      </c>
      <c r="M2197">
        <v>0.05</v>
      </c>
    </row>
    <row r="2198" spans="1:13" x14ac:dyDescent="0.25">
      <c r="A2198">
        <v>2021</v>
      </c>
      <c r="B2198" t="s">
        <v>259</v>
      </c>
      <c r="C2198">
        <v>27019</v>
      </c>
      <c r="D2198" t="s">
        <v>271</v>
      </c>
      <c r="E2198" t="s">
        <v>302</v>
      </c>
      <c r="F2198" t="s">
        <v>305</v>
      </c>
      <c r="G2198" t="s">
        <v>309</v>
      </c>
      <c r="H2198">
        <v>3919.4180999999999</v>
      </c>
      <c r="I2198" t="s">
        <v>307</v>
      </c>
      <c r="J2198" t="s">
        <v>291</v>
      </c>
      <c r="K2198">
        <v>105694</v>
      </c>
      <c r="L2198" t="s">
        <v>286</v>
      </c>
      <c r="M2198">
        <v>0.04</v>
      </c>
    </row>
    <row r="2199" spans="1:13" x14ac:dyDescent="0.25">
      <c r="A2199">
        <v>2021</v>
      </c>
      <c r="B2199" t="s">
        <v>259</v>
      </c>
      <c r="C2199">
        <v>27025</v>
      </c>
      <c r="D2199" t="s">
        <v>272</v>
      </c>
      <c r="E2199" t="s">
        <v>302</v>
      </c>
      <c r="F2199" t="s">
        <v>305</v>
      </c>
      <c r="G2199" t="s">
        <v>309</v>
      </c>
      <c r="H2199">
        <v>756.6354</v>
      </c>
      <c r="I2199" t="s">
        <v>307</v>
      </c>
      <c r="J2199" t="s">
        <v>291</v>
      </c>
      <c r="K2199">
        <v>56328</v>
      </c>
      <c r="L2199" t="s">
        <v>286</v>
      </c>
      <c r="M2199">
        <v>0.01</v>
      </c>
    </row>
    <row r="2200" spans="1:13" x14ac:dyDescent="0.25">
      <c r="A2200">
        <v>2021</v>
      </c>
      <c r="B2200" t="s">
        <v>259</v>
      </c>
      <c r="C2200">
        <v>27037</v>
      </c>
      <c r="D2200" t="s">
        <v>273</v>
      </c>
      <c r="E2200" t="s">
        <v>302</v>
      </c>
      <c r="F2200" t="s">
        <v>305</v>
      </c>
      <c r="G2200" t="s">
        <v>309</v>
      </c>
      <c r="H2200">
        <v>12578.5404</v>
      </c>
      <c r="I2200" t="s">
        <v>307</v>
      </c>
      <c r="J2200" t="s">
        <v>291</v>
      </c>
      <c r="K2200">
        <v>435863</v>
      </c>
      <c r="L2200" t="s">
        <v>286</v>
      </c>
      <c r="M2200">
        <v>0.03</v>
      </c>
    </row>
    <row r="2201" spans="1:13" x14ac:dyDescent="0.25">
      <c r="A2201">
        <v>2021</v>
      </c>
      <c r="B2201" t="s">
        <v>259</v>
      </c>
      <c r="C2201">
        <v>27053</v>
      </c>
      <c r="D2201" t="s">
        <v>274</v>
      </c>
      <c r="E2201" t="s">
        <v>302</v>
      </c>
      <c r="F2201" t="s">
        <v>305</v>
      </c>
      <c r="G2201" t="s">
        <v>309</v>
      </c>
      <c r="H2201">
        <v>30815.284500000002</v>
      </c>
      <c r="I2201" t="s">
        <v>307</v>
      </c>
      <c r="J2201" t="s">
        <v>291</v>
      </c>
      <c r="K2201">
        <v>1270283</v>
      </c>
      <c r="L2201" t="s">
        <v>286</v>
      </c>
      <c r="M2201">
        <v>0.02</v>
      </c>
    </row>
    <row r="2202" spans="1:13" x14ac:dyDescent="0.25">
      <c r="A2202">
        <v>2021</v>
      </c>
      <c r="B2202" t="s">
        <v>259</v>
      </c>
      <c r="C2202">
        <v>27123</v>
      </c>
      <c r="D2202" t="s">
        <v>275</v>
      </c>
      <c r="E2202" t="s">
        <v>302</v>
      </c>
      <c r="F2202" t="s">
        <v>305</v>
      </c>
      <c r="G2202" t="s">
        <v>309</v>
      </c>
      <c r="H2202">
        <v>7134.6671999999999</v>
      </c>
      <c r="I2202" t="s">
        <v>307</v>
      </c>
      <c r="J2202" t="s">
        <v>291</v>
      </c>
      <c r="K2202">
        <v>549377</v>
      </c>
      <c r="L2202" t="s">
        <v>286</v>
      </c>
      <c r="M2202">
        <v>0.01</v>
      </c>
    </row>
    <row r="2203" spans="1:13" x14ac:dyDescent="0.25">
      <c r="A2203">
        <v>2021</v>
      </c>
      <c r="B2203" t="s">
        <v>259</v>
      </c>
      <c r="C2203">
        <v>27139</v>
      </c>
      <c r="D2203" t="s">
        <v>276</v>
      </c>
      <c r="E2203" t="s">
        <v>302</v>
      </c>
      <c r="F2203" t="s">
        <v>305</v>
      </c>
      <c r="G2203" t="s">
        <v>309</v>
      </c>
      <c r="H2203">
        <v>5246.8937999999998</v>
      </c>
      <c r="I2203" t="s">
        <v>307</v>
      </c>
      <c r="J2203" t="s">
        <v>291</v>
      </c>
      <c r="K2203">
        <v>149568</v>
      </c>
      <c r="L2203" t="s">
        <v>286</v>
      </c>
      <c r="M2203">
        <v>0.04</v>
      </c>
    </row>
    <row r="2204" spans="1:13" x14ac:dyDescent="0.25">
      <c r="A2204">
        <v>2021</v>
      </c>
      <c r="B2204" t="s">
        <v>259</v>
      </c>
      <c r="C2204">
        <v>27141</v>
      </c>
      <c r="D2204" t="s">
        <v>277</v>
      </c>
      <c r="E2204" t="s">
        <v>302</v>
      </c>
      <c r="F2204" t="s">
        <v>305</v>
      </c>
      <c r="G2204" t="s">
        <v>309</v>
      </c>
      <c r="H2204">
        <v>3057.6680999999999</v>
      </c>
      <c r="I2204" t="s">
        <v>307</v>
      </c>
      <c r="J2204" t="s">
        <v>291</v>
      </c>
      <c r="K2204">
        <v>96295</v>
      </c>
      <c r="L2204" t="s">
        <v>286</v>
      </c>
      <c r="M2204">
        <v>0.03</v>
      </c>
    </row>
    <row r="2205" spans="1:13" x14ac:dyDescent="0.25">
      <c r="A2205">
        <v>2021</v>
      </c>
      <c r="B2205" t="s">
        <v>259</v>
      </c>
      <c r="C2205">
        <v>27163</v>
      </c>
      <c r="D2205" t="s">
        <v>278</v>
      </c>
      <c r="E2205" t="s">
        <v>302</v>
      </c>
      <c r="F2205" t="s">
        <v>305</v>
      </c>
      <c r="G2205" t="s">
        <v>309</v>
      </c>
      <c r="H2205">
        <v>7529.0319</v>
      </c>
      <c r="I2205" t="s">
        <v>307</v>
      </c>
      <c r="J2205" t="s">
        <v>291</v>
      </c>
      <c r="K2205">
        <v>264818</v>
      </c>
      <c r="L2205" t="s">
        <v>286</v>
      </c>
      <c r="M2205">
        <v>0.03</v>
      </c>
    </row>
    <row r="2206" spans="1:13" x14ac:dyDescent="0.25">
      <c r="A2206">
        <v>2021</v>
      </c>
      <c r="B2206" t="s">
        <v>259</v>
      </c>
      <c r="C2206">
        <v>27003</v>
      </c>
      <c r="D2206" t="s">
        <v>260</v>
      </c>
      <c r="E2206" t="s">
        <v>302</v>
      </c>
      <c r="F2206" t="s">
        <v>305</v>
      </c>
      <c r="G2206" t="s">
        <v>310</v>
      </c>
      <c r="H2206">
        <v>7958.4314000000004</v>
      </c>
      <c r="I2206" t="s">
        <v>307</v>
      </c>
      <c r="J2206" t="s">
        <v>291</v>
      </c>
      <c r="K2206">
        <v>360773</v>
      </c>
      <c r="L2206" t="s">
        <v>286</v>
      </c>
      <c r="M2206">
        <v>0.02</v>
      </c>
    </row>
    <row r="2207" spans="1:13" x14ac:dyDescent="0.25">
      <c r="A2207">
        <v>2021</v>
      </c>
      <c r="B2207" t="s">
        <v>259</v>
      </c>
      <c r="C2207">
        <v>27019</v>
      </c>
      <c r="D2207" t="s">
        <v>271</v>
      </c>
      <c r="E2207" t="s">
        <v>302</v>
      </c>
      <c r="F2207" t="s">
        <v>305</v>
      </c>
      <c r="G2207" t="s">
        <v>310</v>
      </c>
      <c r="H2207">
        <v>2.5112000000000001</v>
      </c>
      <c r="I2207" t="s">
        <v>307</v>
      </c>
      <c r="J2207" t="s">
        <v>291</v>
      </c>
      <c r="K2207">
        <v>105694</v>
      </c>
      <c r="L2207" t="s">
        <v>286</v>
      </c>
      <c r="M2207">
        <v>0</v>
      </c>
    </row>
    <row r="2208" spans="1:13" x14ac:dyDescent="0.25">
      <c r="A2208">
        <v>2021</v>
      </c>
      <c r="B2208" t="s">
        <v>259</v>
      </c>
      <c r="C2208">
        <v>27025</v>
      </c>
      <c r="D2208" t="s">
        <v>272</v>
      </c>
      <c r="E2208" t="s">
        <v>302</v>
      </c>
      <c r="F2208" t="s">
        <v>305</v>
      </c>
      <c r="G2208" t="s">
        <v>310</v>
      </c>
      <c r="H2208">
        <v>0</v>
      </c>
      <c r="I2208" t="s">
        <v>307</v>
      </c>
      <c r="J2208" t="s">
        <v>291</v>
      </c>
      <c r="K2208">
        <v>56328</v>
      </c>
      <c r="L2208" t="s">
        <v>286</v>
      </c>
      <c r="M2208">
        <v>0</v>
      </c>
    </row>
    <row r="2209" spans="1:13" x14ac:dyDescent="0.25">
      <c r="A2209">
        <v>2021</v>
      </c>
      <c r="B2209" t="s">
        <v>259</v>
      </c>
      <c r="C2209">
        <v>27037</v>
      </c>
      <c r="D2209" t="s">
        <v>273</v>
      </c>
      <c r="E2209" t="s">
        <v>302</v>
      </c>
      <c r="F2209" t="s">
        <v>305</v>
      </c>
      <c r="G2209" t="s">
        <v>310</v>
      </c>
      <c r="H2209">
        <v>4305.7619999999997</v>
      </c>
      <c r="I2209" t="s">
        <v>307</v>
      </c>
      <c r="J2209" t="s">
        <v>291</v>
      </c>
      <c r="K2209">
        <v>435863</v>
      </c>
      <c r="L2209" t="s">
        <v>286</v>
      </c>
      <c r="M2209">
        <v>0.01</v>
      </c>
    </row>
    <row r="2210" spans="1:13" x14ac:dyDescent="0.25">
      <c r="A2210">
        <v>2021</v>
      </c>
      <c r="B2210" t="s">
        <v>259</v>
      </c>
      <c r="C2210">
        <v>27053</v>
      </c>
      <c r="D2210" t="s">
        <v>274</v>
      </c>
      <c r="E2210" t="s">
        <v>302</v>
      </c>
      <c r="F2210" t="s">
        <v>305</v>
      </c>
      <c r="G2210" t="s">
        <v>310</v>
      </c>
      <c r="H2210">
        <v>152837.46280000001</v>
      </c>
      <c r="I2210" t="s">
        <v>307</v>
      </c>
      <c r="J2210" t="s">
        <v>291</v>
      </c>
      <c r="K2210">
        <v>1270283</v>
      </c>
      <c r="L2210" t="s">
        <v>286</v>
      </c>
      <c r="M2210">
        <v>0.12</v>
      </c>
    </row>
    <row r="2211" spans="1:13" x14ac:dyDescent="0.25">
      <c r="A2211">
        <v>2021</v>
      </c>
      <c r="B2211" t="s">
        <v>259</v>
      </c>
      <c r="C2211">
        <v>27123</v>
      </c>
      <c r="D2211" t="s">
        <v>275</v>
      </c>
      <c r="E2211" t="s">
        <v>302</v>
      </c>
      <c r="F2211" t="s">
        <v>305</v>
      </c>
      <c r="G2211" t="s">
        <v>310</v>
      </c>
      <c r="H2211">
        <v>101485.117</v>
      </c>
      <c r="I2211" t="s">
        <v>307</v>
      </c>
      <c r="J2211" t="s">
        <v>291</v>
      </c>
      <c r="K2211">
        <v>549377</v>
      </c>
      <c r="L2211" t="s">
        <v>286</v>
      </c>
      <c r="M2211">
        <v>0.18</v>
      </c>
    </row>
    <row r="2212" spans="1:13" x14ac:dyDescent="0.25">
      <c r="A2212">
        <v>2021</v>
      </c>
      <c r="B2212" t="s">
        <v>259</v>
      </c>
      <c r="C2212">
        <v>27139</v>
      </c>
      <c r="D2212" t="s">
        <v>276</v>
      </c>
      <c r="E2212" t="s">
        <v>302</v>
      </c>
      <c r="F2212" t="s">
        <v>305</v>
      </c>
      <c r="G2212" t="s">
        <v>310</v>
      </c>
      <c r="H2212">
        <v>0.30530000000000002</v>
      </c>
      <c r="I2212" t="s">
        <v>307</v>
      </c>
      <c r="J2212" t="s">
        <v>291</v>
      </c>
      <c r="K2212">
        <v>149568</v>
      </c>
      <c r="L2212" t="s">
        <v>286</v>
      </c>
      <c r="M2212">
        <v>0</v>
      </c>
    </row>
    <row r="2213" spans="1:13" x14ac:dyDescent="0.25">
      <c r="A2213">
        <v>2021</v>
      </c>
      <c r="B2213" t="s">
        <v>259</v>
      </c>
      <c r="C2213">
        <v>27141</v>
      </c>
      <c r="D2213" t="s">
        <v>277</v>
      </c>
      <c r="E2213" t="s">
        <v>302</v>
      </c>
      <c r="F2213" t="s">
        <v>305</v>
      </c>
      <c r="G2213" t="s">
        <v>310</v>
      </c>
      <c r="H2213">
        <v>1756.12</v>
      </c>
      <c r="I2213" t="s">
        <v>307</v>
      </c>
      <c r="J2213" t="s">
        <v>291</v>
      </c>
      <c r="K2213">
        <v>96295</v>
      </c>
      <c r="L2213" t="s">
        <v>286</v>
      </c>
      <c r="M2213">
        <v>0.02</v>
      </c>
    </row>
    <row r="2214" spans="1:13" x14ac:dyDescent="0.25">
      <c r="A2214">
        <v>2021</v>
      </c>
      <c r="B2214" t="s">
        <v>259</v>
      </c>
      <c r="C2214">
        <v>27163</v>
      </c>
      <c r="D2214" t="s">
        <v>278</v>
      </c>
      <c r="E2214" t="s">
        <v>302</v>
      </c>
      <c r="F2214" t="s">
        <v>305</v>
      </c>
      <c r="G2214" t="s">
        <v>310</v>
      </c>
      <c r="H2214">
        <v>37535.564299999998</v>
      </c>
      <c r="I2214" t="s">
        <v>307</v>
      </c>
      <c r="J2214" t="s">
        <v>291</v>
      </c>
      <c r="K2214">
        <v>264818</v>
      </c>
      <c r="L2214" t="s">
        <v>286</v>
      </c>
      <c r="M2214">
        <v>0.14000000000000001</v>
      </c>
    </row>
    <row r="2215" spans="1:13" x14ac:dyDescent="0.25">
      <c r="A2215">
        <v>2021</v>
      </c>
      <c r="B2215" t="s">
        <v>259</v>
      </c>
      <c r="C2215">
        <v>55093</v>
      </c>
      <c r="D2215" t="s">
        <v>279</v>
      </c>
      <c r="E2215" t="s">
        <v>302</v>
      </c>
      <c r="F2215" t="s">
        <v>305</v>
      </c>
      <c r="G2215" t="s">
        <v>306</v>
      </c>
      <c r="H2215">
        <v>15813.0382527193</v>
      </c>
      <c r="I2215" t="s">
        <v>311</v>
      </c>
      <c r="J2215" t="s">
        <v>291</v>
      </c>
      <c r="K2215">
        <v>42204</v>
      </c>
      <c r="L2215" t="s">
        <v>286</v>
      </c>
      <c r="M2215">
        <v>0.37</v>
      </c>
    </row>
    <row r="2216" spans="1:13" x14ac:dyDescent="0.25">
      <c r="A2216">
        <v>2021</v>
      </c>
      <c r="B2216" t="s">
        <v>259</v>
      </c>
      <c r="C2216">
        <v>55109</v>
      </c>
      <c r="D2216" t="s">
        <v>280</v>
      </c>
      <c r="E2216" t="s">
        <v>302</v>
      </c>
      <c r="F2216" t="s">
        <v>305</v>
      </c>
      <c r="G2216" t="s">
        <v>306</v>
      </c>
      <c r="H2216">
        <v>34656.122007043698</v>
      </c>
      <c r="I2216" t="s">
        <v>311</v>
      </c>
      <c r="J2216" t="s">
        <v>291</v>
      </c>
      <c r="K2216">
        <v>92495</v>
      </c>
      <c r="L2216" t="s">
        <v>286</v>
      </c>
      <c r="M2216">
        <v>0.37</v>
      </c>
    </row>
    <row r="2217" spans="1:13" x14ac:dyDescent="0.25">
      <c r="A2217">
        <v>2021</v>
      </c>
      <c r="B2217" t="s">
        <v>259</v>
      </c>
      <c r="C2217">
        <v>27003</v>
      </c>
      <c r="D2217" t="s">
        <v>260</v>
      </c>
      <c r="E2217" t="s">
        <v>312</v>
      </c>
      <c r="F2217" t="s">
        <v>313</v>
      </c>
      <c r="G2217" t="s">
        <v>314</v>
      </c>
      <c r="H2217">
        <v>-34489.600991147599</v>
      </c>
      <c r="I2217" t="s">
        <v>315</v>
      </c>
      <c r="J2217" t="s">
        <v>316</v>
      </c>
      <c r="K2217">
        <v>360773</v>
      </c>
      <c r="L2217" t="s">
        <v>286</v>
      </c>
      <c r="M2217">
        <v>-0.1</v>
      </c>
    </row>
    <row r="2218" spans="1:13" x14ac:dyDescent="0.25">
      <c r="A2218">
        <v>2021</v>
      </c>
      <c r="B2218" t="s">
        <v>259</v>
      </c>
      <c r="C2218">
        <v>27003</v>
      </c>
      <c r="D2218" t="s">
        <v>260</v>
      </c>
      <c r="E2218" t="s">
        <v>312</v>
      </c>
      <c r="F2218" t="s">
        <v>313</v>
      </c>
      <c r="G2218" t="s">
        <v>317</v>
      </c>
      <c r="H2218">
        <v>-118249.878032248</v>
      </c>
      <c r="I2218" t="s">
        <v>315</v>
      </c>
      <c r="J2218" t="s">
        <v>316</v>
      </c>
      <c r="K2218">
        <v>360773</v>
      </c>
      <c r="L2218" t="s">
        <v>286</v>
      </c>
      <c r="M2218">
        <v>-0.33</v>
      </c>
    </row>
    <row r="2219" spans="1:13" x14ac:dyDescent="0.25">
      <c r="A2219">
        <v>2021</v>
      </c>
      <c r="B2219" t="s">
        <v>259</v>
      </c>
      <c r="C2219">
        <v>27003</v>
      </c>
      <c r="D2219" t="s">
        <v>260</v>
      </c>
      <c r="E2219" t="s">
        <v>312</v>
      </c>
      <c r="F2219" t="s">
        <v>313</v>
      </c>
      <c r="G2219" t="s">
        <v>318</v>
      </c>
      <c r="H2219">
        <v>-29334.557754209101</v>
      </c>
      <c r="I2219" t="s">
        <v>315</v>
      </c>
      <c r="J2219" t="s">
        <v>316</v>
      </c>
      <c r="K2219">
        <v>360773</v>
      </c>
      <c r="L2219" t="s">
        <v>286</v>
      </c>
      <c r="M2219">
        <v>-0.08</v>
      </c>
    </row>
    <row r="2220" spans="1:13" x14ac:dyDescent="0.25">
      <c r="A2220">
        <v>2021</v>
      </c>
      <c r="B2220" t="s">
        <v>259</v>
      </c>
      <c r="C2220">
        <v>27003</v>
      </c>
      <c r="D2220" t="s">
        <v>260</v>
      </c>
      <c r="E2220" t="s">
        <v>312</v>
      </c>
      <c r="F2220" t="s">
        <v>313</v>
      </c>
      <c r="G2220" t="s">
        <v>319</v>
      </c>
      <c r="H2220">
        <v>-73118.799106304199</v>
      </c>
      <c r="I2220" t="s">
        <v>315</v>
      </c>
      <c r="J2220" t="s">
        <v>316</v>
      </c>
      <c r="K2220">
        <v>360773</v>
      </c>
      <c r="L2220" t="s">
        <v>286</v>
      </c>
      <c r="M2220">
        <v>-0.2</v>
      </c>
    </row>
    <row r="2221" spans="1:13" x14ac:dyDescent="0.25">
      <c r="A2221">
        <v>2021</v>
      </c>
      <c r="B2221" t="s">
        <v>259</v>
      </c>
      <c r="C2221">
        <v>27003</v>
      </c>
      <c r="D2221" t="s">
        <v>260</v>
      </c>
      <c r="E2221" t="s">
        <v>312</v>
      </c>
      <c r="F2221" t="s">
        <v>313</v>
      </c>
      <c r="G2221" t="s">
        <v>320</v>
      </c>
      <c r="H2221">
        <v>-26306.630849473</v>
      </c>
      <c r="I2221" t="s">
        <v>315</v>
      </c>
      <c r="J2221" t="s">
        <v>316</v>
      </c>
      <c r="K2221">
        <v>360773</v>
      </c>
      <c r="L2221" t="s">
        <v>286</v>
      </c>
      <c r="M2221">
        <v>-7.0000000000000007E-2</v>
      </c>
    </row>
    <row r="2222" spans="1:13" x14ac:dyDescent="0.25">
      <c r="A2222">
        <v>2021</v>
      </c>
      <c r="B2222" t="s">
        <v>259</v>
      </c>
      <c r="C2222">
        <v>27019</v>
      </c>
      <c r="D2222" t="s">
        <v>271</v>
      </c>
      <c r="E2222" t="s">
        <v>312</v>
      </c>
      <c r="F2222" t="s">
        <v>313</v>
      </c>
      <c r="G2222" t="s">
        <v>314</v>
      </c>
      <c r="H2222">
        <v>-18303.068866841499</v>
      </c>
      <c r="I2222" t="s">
        <v>315</v>
      </c>
      <c r="J2222" t="s">
        <v>316</v>
      </c>
      <c r="K2222">
        <v>105694</v>
      </c>
      <c r="L2222" t="s">
        <v>286</v>
      </c>
      <c r="M2222">
        <v>-0.17</v>
      </c>
    </row>
    <row r="2223" spans="1:13" x14ac:dyDescent="0.25">
      <c r="A2223">
        <v>2021</v>
      </c>
      <c r="B2223" t="s">
        <v>259</v>
      </c>
      <c r="C2223">
        <v>27019</v>
      </c>
      <c r="D2223" t="s">
        <v>271</v>
      </c>
      <c r="E2223" t="s">
        <v>312</v>
      </c>
      <c r="F2223" t="s">
        <v>313</v>
      </c>
      <c r="G2223" t="s">
        <v>317</v>
      </c>
      <c r="H2223">
        <v>-57344.4999965799</v>
      </c>
      <c r="I2223" t="s">
        <v>315</v>
      </c>
      <c r="J2223" t="s">
        <v>316</v>
      </c>
      <c r="K2223">
        <v>105694</v>
      </c>
      <c r="L2223" t="s">
        <v>286</v>
      </c>
      <c r="M2223">
        <v>-0.54</v>
      </c>
    </row>
    <row r="2224" spans="1:13" x14ac:dyDescent="0.25">
      <c r="A2224">
        <v>2021</v>
      </c>
      <c r="B2224" t="s">
        <v>259</v>
      </c>
      <c r="C2224">
        <v>27019</v>
      </c>
      <c r="D2224" t="s">
        <v>271</v>
      </c>
      <c r="E2224" t="s">
        <v>312</v>
      </c>
      <c r="F2224" t="s">
        <v>313</v>
      </c>
      <c r="G2224" t="s">
        <v>318</v>
      </c>
      <c r="H2224">
        <v>-11815.493538909001</v>
      </c>
      <c r="I2224" t="s">
        <v>315</v>
      </c>
      <c r="J2224" t="s">
        <v>316</v>
      </c>
      <c r="K2224">
        <v>105694</v>
      </c>
      <c r="L2224" t="s">
        <v>286</v>
      </c>
      <c r="M2224">
        <v>-0.11</v>
      </c>
    </row>
    <row r="2225" spans="1:13" x14ac:dyDescent="0.25">
      <c r="A2225">
        <v>2021</v>
      </c>
      <c r="B2225" t="s">
        <v>259</v>
      </c>
      <c r="C2225">
        <v>27019</v>
      </c>
      <c r="D2225" t="s">
        <v>271</v>
      </c>
      <c r="E2225" t="s">
        <v>312</v>
      </c>
      <c r="F2225" t="s">
        <v>313</v>
      </c>
      <c r="G2225" t="s">
        <v>319</v>
      </c>
      <c r="H2225">
        <v>-19934.1613854225</v>
      </c>
      <c r="I2225" t="s">
        <v>315</v>
      </c>
      <c r="J2225" t="s">
        <v>316</v>
      </c>
      <c r="K2225">
        <v>105694</v>
      </c>
      <c r="L2225" t="s">
        <v>286</v>
      </c>
      <c r="M2225">
        <v>-0.19</v>
      </c>
    </row>
    <row r="2226" spans="1:13" x14ac:dyDescent="0.25">
      <c r="A2226">
        <v>2021</v>
      </c>
      <c r="B2226" t="s">
        <v>259</v>
      </c>
      <c r="C2226">
        <v>27019</v>
      </c>
      <c r="D2226" t="s">
        <v>271</v>
      </c>
      <c r="E2226" t="s">
        <v>312</v>
      </c>
      <c r="F2226" t="s">
        <v>313</v>
      </c>
      <c r="G2226" t="s">
        <v>320</v>
      </c>
      <c r="H2226">
        <v>-7098.1112832086101</v>
      </c>
      <c r="I2226" t="s">
        <v>315</v>
      </c>
      <c r="J2226" t="s">
        <v>316</v>
      </c>
      <c r="K2226">
        <v>105694</v>
      </c>
      <c r="L2226" t="s">
        <v>286</v>
      </c>
      <c r="M2226">
        <v>-7.0000000000000007E-2</v>
      </c>
    </row>
    <row r="2227" spans="1:13" x14ac:dyDescent="0.25">
      <c r="A2227">
        <v>2021</v>
      </c>
      <c r="B2227" t="s">
        <v>259</v>
      </c>
      <c r="C2227">
        <v>27025</v>
      </c>
      <c r="D2227" t="s">
        <v>272</v>
      </c>
      <c r="E2227" t="s">
        <v>312</v>
      </c>
      <c r="F2227" t="s">
        <v>313</v>
      </c>
      <c r="G2227" t="s">
        <v>314</v>
      </c>
      <c r="H2227">
        <v>-32048.003671675098</v>
      </c>
      <c r="I2227" t="s">
        <v>315</v>
      </c>
      <c r="J2227" t="s">
        <v>316</v>
      </c>
      <c r="K2227">
        <v>56328</v>
      </c>
      <c r="L2227" t="s">
        <v>286</v>
      </c>
      <c r="M2227">
        <v>-0.56999999999999995</v>
      </c>
    </row>
    <row r="2228" spans="1:13" x14ac:dyDescent="0.25">
      <c r="A2228">
        <v>2021</v>
      </c>
      <c r="B2228" t="s">
        <v>259</v>
      </c>
      <c r="C2228">
        <v>27025</v>
      </c>
      <c r="D2228" t="s">
        <v>272</v>
      </c>
      <c r="E2228" t="s">
        <v>312</v>
      </c>
      <c r="F2228" t="s">
        <v>313</v>
      </c>
      <c r="G2228" t="s">
        <v>317</v>
      </c>
      <c r="H2228">
        <v>-141553.22116217599</v>
      </c>
      <c r="I2228" t="s">
        <v>315</v>
      </c>
      <c r="J2228" t="s">
        <v>316</v>
      </c>
      <c r="K2228">
        <v>56328</v>
      </c>
      <c r="L2228" t="s">
        <v>286</v>
      </c>
      <c r="M2228">
        <v>-2.5099999999999998</v>
      </c>
    </row>
    <row r="2229" spans="1:13" x14ac:dyDescent="0.25">
      <c r="A2229">
        <v>2021</v>
      </c>
      <c r="B2229" t="s">
        <v>259</v>
      </c>
      <c r="C2229">
        <v>27025</v>
      </c>
      <c r="D2229" t="s">
        <v>272</v>
      </c>
      <c r="E2229" t="s">
        <v>312</v>
      </c>
      <c r="F2229" t="s">
        <v>313</v>
      </c>
      <c r="G2229" t="s">
        <v>318</v>
      </c>
      <c r="H2229">
        <v>-12250.764008674099</v>
      </c>
      <c r="I2229" t="s">
        <v>315</v>
      </c>
      <c r="J2229" t="s">
        <v>316</v>
      </c>
      <c r="K2229">
        <v>56328</v>
      </c>
      <c r="L2229" t="s">
        <v>286</v>
      </c>
      <c r="M2229">
        <v>-0.22</v>
      </c>
    </row>
    <row r="2230" spans="1:13" x14ac:dyDescent="0.25">
      <c r="A2230">
        <v>2021</v>
      </c>
      <c r="B2230" t="s">
        <v>259</v>
      </c>
      <c r="C2230">
        <v>27025</v>
      </c>
      <c r="D2230" t="s">
        <v>272</v>
      </c>
      <c r="E2230" t="s">
        <v>312</v>
      </c>
      <c r="F2230" t="s">
        <v>313</v>
      </c>
      <c r="G2230" t="s">
        <v>319</v>
      </c>
      <c r="H2230">
        <v>-20639.148581824102</v>
      </c>
      <c r="I2230" t="s">
        <v>315</v>
      </c>
      <c r="J2230" t="s">
        <v>316</v>
      </c>
      <c r="K2230">
        <v>56328</v>
      </c>
      <c r="L2230" t="s">
        <v>286</v>
      </c>
      <c r="M2230">
        <v>-0.37</v>
      </c>
    </row>
    <row r="2231" spans="1:13" x14ac:dyDescent="0.25">
      <c r="A2231">
        <v>2021</v>
      </c>
      <c r="B2231" t="s">
        <v>259</v>
      </c>
      <c r="C2231">
        <v>27025</v>
      </c>
      <c r="D2231" t="s">
        <v>272</v>
      </c>
      <c r="E2231" t="s">
        <v>312</v>
      </c>
      <c r="F2231" t="s">
        <v>313</v>
      </c>
      <c r="G2231" t="s">
        <v>320</v>
      </c>
      <c r="H2231">
        <v>-14396.9996883883</v>
      </c>
      <c r="I2231" t="s">
        <v>315</v>
      </c>
      <c r="J2231" t="s">
        <v>316</v>
      </c>
      <c r="K2231">
        <v>56328</v>
      </c>
      <c r="L2231" t="s">
        <v>286</v>
      </c>
      <c r="M2231">
        <v>-0.26</v>
      </c>
    </row>
    <row r="2232" spans="1:13" x14ac:dyDescent="0.25">
      <c r="A2232">
        <v>2021</v>
      </c>
      <c r="B2232" t="s">
        <v>259</v>
      </c>
      <c r="C2232">
        <v>27037</v>
      </c>
      <c r="D2232" t="s">
        <v>273</v>
      </c>
      <c r="E2232" t="s">
        <v>312</v>
      </c>
      <c r="F2232" t="s">
        <v>313</v>
      </c>
      <c r="G2232" t="s">
        <v>314</v>
      </c>
      <c r="H2232">
        <v>-18271.9303353252</v>
      </c>
      <c r="I2232" t="s">
        <v>315</v>
      </c>
      <c r="J2232" t="s">
        <v>316</v>
      </c>
      <c r="K2232">
        <v>435863</v>
      </c>
      <c r="L2232" t="s">
        <v>286</v>
      </c>
      <c r="M2232">
        <v>-0.04</v>
      </c>
    </row>
    <row r="2233" spans="1:13" x14ac:dyDescent="0.25">
      <c r="A2233">
        <v>2021</v>
      </c>
      <c r="B2233" t="s">
        <v>259</v>
      </c>
      <c r="C2233">
        <v>27037</v>
      </c>
      <c r="D2233" t="s">
        <v>273</v>
      </c>
      <c r="E2233" t="s">
        <v>312</v>
      </c>
      <c r="F2233" t="s">
        <v>313</v>
      </c>
      <c r="G2233" t="s">
        <v>317</v>
      </c>
      <c r="H2233">
        <v>-78256.780650353801</v>
      </c>
      <c r="I2233" t="s">
        <v>315</v>
      </c>
      <c r="J2233" t="s">
        <v>316</v>
      </c>
      <c r="K2233">
        <v>435863</v>
      </c>
      <c r="L2233" t="s">
        <v>286</v>
      </c>
      <c r="M2233">
        <v>-0.18</v>
      </c>
    </row>
    <row r="2234" spans="1:13" x14ac:dyDescent="0.25">
      <c r="A2234">
        <v>2021</v>
      </c>
      <c r="B2234" t="s">
        <v>259</v>
      </c>
      <c r="C2234">
        <v>27037</v>
      </c>
      <c r="D2234" t="s">
        <v>273</v>
      </c>
      <c r="E2234" t="s">
        <v>312</v>
      </c>
      <c r="F2234" t="s">
        <v>313</v>
      </c>
      <c r="G2234" t="s">
        <v>318</v>
      </c>
      <c r="H2234">
        <v>-28670.524425565</v>
      </c>
      <c r="I2234" t="s">
        <v>315</v>
      </c>
      <c r="J2234" t="s">
        <v>316</v>
      </c>
      <c r="K2234">
        <v>435863</v>
      </c>
      <c r="L2234" t="s">
        <v>286</v>
      </c>
      <c r="M2234">
        <v>-7.0000000000000007E-2</v>
      </c>
    </row>
    <row r="2235" spans="1:13" x14ac:dyDescent="0.25">
      <c r="A2235">
        <v>2021</v>
      </c>
      <c r="B2235" t="s">
        <v>259</v>
      </c>
      <c r="C2235">
        <v>27037</v>
      </c>
      <c r="D2235" t="s">
        <v>273</v>
      </c>
      <c r="E2235" t="s">
        <v>312</v>
      </c>
      <c r="F2235" t="s">
        <v>313</v>
      </c>
      <c r="G2235" t="s">
        <v>319</v>
      </c>
      <c r="H2235">
        <v>-79628.436923986999</v>
      </c>
      <c r="I2235" t="s">
        <v>315</v>
      </c>
      <c r="J2235" t="s">
        <v>316</v>
      </c>
      <c r="K2235">
        <v>435863</v>
      </c>
      <c r="L2235" t="s">
        <v>286</v>
      </c>
      <c r="M2235">
        <v>-0.18</v>
      </c>
    </row>
    <row r="2236" spans="1:13" x14ac:dyDescent="0.25">
      <c r="A2236">
        <v>2021</v>
      </c>
      <c r="B2236" t="s">
        <v>259</v>
      </c>
      <c r="C2236">
        <v>27037</v>
      </c>
      <c r="D2236" t="s">
        <v>273</v>
      </c>
      <c r="E2236" t="s">
        <v>312</v>
      </c>
      <c r="F2236" t="s">
        <v>313</v>
      </c>
      <c r="G2236" t="s">
        <v>320</v>
      </c>
      <c r="H2236">
        <v>-4737.2185542490997</v>
      </c>
      <c r="I2236" t="s">
        <v>315</v>
      </c>
      <c r="J2236" t="s">
        <v>316</v>
      </c>
      <c r="K2236">
        <v>435863</v>
      </c>
      <c r="L2236" t="s">
        <v>286</v>
      </c>
      <c r="M2236">
        <v>-0.01</v>
      </c>
    </row>
    <row r="2237" spans="1:13" x14ac:dyDescent="0.25">
      <c r="A2237">
        <v>2021</v>
      </c>
      <c r="B2237" t="s">
        <v>259</v>
      </c>
      <c r="C2237">
        <v>27053</v>
      </c>
      <c r="D2237" t="s">
        <v>274</v>
      </c>
      <c r="E2237" t="s">
        <v>312</v>
      </c>
      <c r="F2237" t="s">
        <v>313</v>
      </c>
      <c r="G2237" t="s">
        <v>314</v>
      </c>
      <c r="H2237">
        <v>-22112.400766705901</v>
      </c>
      <c r="I2237" t="s">
        <v>315</v>
      </c>
      <c r="J2237" t="s">
        <v>316</v>
      </c>
      <c r="K2237">
        <v>1270283</v>
      </c>
      <c r="L2237" t="s">
        <v>286</v>
      </c>
      <c r="M2237">
        <v>-0.02</v>
      </c>
    </row>
    <row r="2238" spans="1:13" x14ac:dyDescent="0.25">
      <c r="A2238">
        <v>2021</v>
      </c>
      <c r="B2238" t="s">
        <v>259</v>
      </c>
      <c r="C2238">
        <v>27053</v>
      </c>
      <c r="D2238" t="s">
        <v>274</v>
      </c>
      <c r="E2238" t="s">
        <v>312</v>
      </c>
      <c r="F2238" t="s">
        <v>313</v>
      </c>
      <c r="G2238" t="s">
        <v>317</v>
      </c>
      <c r="H2238">
        <v>-78210.391089483703</v>
      </c>
      <c r="I2238" t="s">
        <v>315</v>
      </c>
      <c r="J2238" t="s">
        <v>316</v>
      </c>
      <c r="K2238">
        <v>1270283</v>
      </c>
      <c r="L2238" t="s">
        <v>286</v>
      </c>
      <c r="M2238">
        <v>-0.06</v>
      </c>
    </row>
    <row r="2239" spans="1:13" x14ac:dyDescent="0.25">
      <c r="A2239">
        <v>2021</v>
      </c>
      <c r="B2239" t="s">
        <v>259</v>
      </c>
      <c r="C2239">
        <v>27053</v>
      </c>
      <c r="D2239" t="s">
        <v>274</v>
      </c>
      <c r="E2239" t="s">
        <v>312</v>
      </c>
      <c r="F2239" t="s">
        <v>313</v>
      </c>
      <c r="G2239" t="s">
        <v>318</v>
      </c>
      <c r="H2239">
        <v>-43910.514712648401</v>
      </c>
      <c r="I2239" t="s">
        <v>315</v>
      </c>
      <c r="J2239" t="s">
        <v>316</v>
      </c>
      <c r="K2239">
        <v>1270283</v>
      </c>
      <c r="L2239" t="s">
        <v>286</v>
      </c>
      <c r="M2239">
        <v>-0.03</v>
      </c>
    </row>
    <row r="2240" spans="1:13" x14ac:dyDescent="0.25">
      <c r="A2240">
        <v>2021</v>
      </c>
      <c r="B2240" t="s">
        <v>259</v>
      </c>
      <c r="C2240">
        <v>27053</v>
      </c>
      <c r="D2240" t="s">
        <v>274</v>
      </c>
      <c r="E2240" t="s">
        <v>312</v>
      </c>
      <c r="F2240" t="s">
        <v>313</v>
      </c>
      <c r="G2240" t="s">
        <v>319</v>
      </c>
      <c r="H2240">
        <v>-181312.265626723</v>
      </c>
      <c r="I2240" t="s">
        <v>315</v>
      </c>
      <c r="J2240" t="s">
        <v>316</v>
      </c>
      <c r="K2240">
        <v>1270283</v>
      </c>
      <c r="L2240" t="s">
        <v>286</v>
      </c>
      <c r="M2240">
        <v>-0.14000000000000001</v>
      </c>
    </row>
    <row r="2241" spans="1:13" x14ac:dyDescent="0.25">
      <c r="A2241">
        <v>2021</v>
      </c>
      <c r="B2241" t="s">
        <v>259</v>
      </c>
      <c r="C2241">
        <v>27053</v>
      </c>
      <c r="D2241" t="s">
        <v>274</v>
      </c>
      <c r="E2241" t="s">
        <v>312</v>
      </c>
      <c r="F2241" t="s">
        <v>313</v>
      </c>
      <c r="G2241" t="s">
        <v>320</v>
      </c>
      <c r="H2241">
        <v>-19082.197321957301</v>
      </c>
      <c r="I2241" t="s">
        <v>315</v>
      </c>
      <c r="J2241" t="s">
        <v>316</v>
      </c>
      <c r="K2241">
        <v>1270283</v>
      </c>
      <c r="L2241" t="s">
        <v>286</v>
      </c>
      <c r="M2241">
        <v>-0.02</v>
      </c>
    </row>
    <row r="2242" spans="1:13" x14ac:dyDescent="0.25">
      <c r="A2242">
        <v>2021</v>
      </c>
      <c r="B2242" t="s">
        <v>259</v>
      </c>
      <c r="C2242">
        <v>55093</v>
      </c>
      <c r="D2242" t="s">
        <v>279</v>
      </c>
      <c r="E2242" t="s">
        <v>312</v>
      </c>
      <c r="F2242" t="s">
        <v>313</v>
      </c>
      <c r="G2242" t="s">
        <v>314</v>
      </c>
      <c r="H2242">
        <v>-24866.021441582001</v>
      </c>
      <c r="I2242" t="s">
        <v>315</v>
      </c>
      <c r="J2242" t="s">
        <v>316</v>
      </c>
      <c r="K2242">
        <v>42204</v>
      </c>
      <c r="L2242" t="s">
        <v>286</v>
      </c>
      <c r="M2242">
        <v>-0.59</v>
      </c>
    </row>
    <row r="2243" spans="1:13" x14ac:dyDescent="0.25">
      <c r="A2243">
        <v>2021</v>
      </c>
      <c r="B2243" t="s">
        <v>259</v>
      </c>
      <c r="C2243">
        <v>55093</v>
      </c>
      <c r="D2243" t="s">
        <v>279</v>
      </c>
      <c r="E2243" t="s">
        <v>312</v>
      </c>
      <c r="F2243" t="s">
        <v>313</v>
      </c>
      <c r="G2243" t="s">
        <v>317</v>
      </c>
      <c r="H2243">
        <v>-183298.900287845</v>
      </c>
      <c r="I2243" t="s">
        <v>315</v>
      </c>
      <c r="J2243" t="s">
        <v>316</v>
      </c>
      <c r="K2243">
        <v>42204</v>
      </c>
      <c r="L2243" t="s">
        <v>286</v>
      </c>
      <c r="M2243">
        <v>-4.34</v>
      </c>
    </row>
    <row r="2244" spans="1:13" x14ac:dyDescent="0.25">
      <c r="A2244">
        <v>2021</v>
      </c>
      <c r="B2244" t="s">
        <v>259</v>
      </c>
      <c r="C2244">
        <v>55093</v>
      </c>
      <c r="D2244" t="s">
        <v>279</v>
      </c>
      <c r="E2244" t="s">
        <v>312</v>
      </c>
      <c r="F2244" t="s">
        <v>313</v>
      </c>
      <c r="G2244" t="s">
        <v>318</v>
      </c>
      <c r="H2244">
        <v>-10216.4788732948</v>
      </c>
      <c r="I2244" t="s">
        <v>315</v>
      </c>
      <c r="J2244" t="s">
        <v>316</v>
      </c>
      <c r="K2244">
        <v>42204</v>
      </c>
      <c r="L2244" t="s">
        <v>286</v>
      </c>
      <c r="M2244">
        <v>-0.24</v>
      </c>
    </row>
    <row r="2245" spans="1:13" x14ac:dyDescent="0.25">
      <c r="A2245">
        <v>2021</v>
      </c>
      <c r="B2245" t="s">
        <v>259</v>
      </c>
      <c r="C2245">
        <v>55093</v>
      </c>
      <c r="D2245" t="s">
        <v>279</v>
      </c>
      <c r="E2245" t="s">
        <v>312</v>
      </c>
      <c r="F2245" t="s">
        <v>313</v>
      </c>
      <c r="G2245" t="s">
        <v>319</v>
      </c>
      <c r="H2245">
        <v>-17883.009697773599</v>
      </c>
      <c r="I2245" t="s">
        <v>315</v>
      </c>
      <c r="J2245" t="s">
        <v>316</v>
      </c>
      <c r="K2245">
        <v>42204</v>
      </c>
      <c r="L2245" t="s">
        <v>286</v>
      </c>
      <c r="M2245">
        <v>-0.42</v>
      </c>
    </row>
    <row r="2246" spans="1:13" x14ac:dyDescent="0.25">
      <c r="A2246">
        <v>2021</v>
      </c>
      <c r="B2246" t="s">
        <v>259</v>
      </c>
      <c r="C2246">
        <v>55093</v>
      </c>
      <c r="D2246" t="s">
        <v>279</v>
      </c>
      <c r="E2246" t="s">
        <v>312</v>
      </c>
      <c r="F2246" t="s">
        <v>313</v>
      </c>
      <c r="G2246" t="s">
        <v>320</v>
      </c>
      <c r="H2246">
        <v>-3845.3269340854999</v>
      </c>
      <c r="I2246" t="s">
        <v>315</v>
      </c>
      <c r="J2246" t="s">
        <v>316</v>
      </c>
      <c r="K2246">
        <v>42204</v>
      </c>
      <c r="L2246" t="s">
        <v>286</v>
      </c>
      <c r="M2246">
        <v>-0.09</v>
      </c>
    </row>
    <row r="2247" spans="1:13" x14ac:dyDescent="0.25">
      <c r="A2247">
        <v>2021</v>
      </c>
      <c r="B2247" t="s">
        <v>259</v>
      </c>
      <c r="C2247">
        <v>27123</v>
      </c>
      <c r="D2247" t="s">
        <v>275</v>
      </c>
      <c r="E2247" t="s">
        <v>312</v>
      </c>
      <c r="F2247" t="s">
        <v>313</v>
      </c>
      <c r="G2247" t="s">
        <v>314</v>
      </c>
      <c r="H2247">
        <v>-2482.1676275047198</v>
      </c>
      <c r="I2247" t="s">
        <v>315</v>
      </c>
      <c r="J2247" t="s">
        <v>316</v>
      </c>
      <c r="K2247">
        <v>549377</v>
      </c>
      <c r="L2247" t="s">
        <v>286</v>
      </c>
      <c r="M2247">
        <v>0</v>
      </c>
    </row>
    <row r="2248" spans="1:13" x14ac:dyDescent="0.25">
      <c r="A2248">
        <v>2021</v>
      </c>
      <c r="B2248" t="s">
        <v>259</v>
      </c>
      <c r="C2248">
        <v>27123</v>
      </c>
      <c r="D2248" t="s">
        <v>275</v>
      </c>
      <c r="E2248" t="s">
        <v>312</v>
      </c>
      <c r="F2248" t="s">
        <v>313</v>
      </c>
      <c r="G2248" t="s">
        <v>317</v>
      </c>
      <c r="H2248">
        <v>-14106.3494898179</v>
      </c>
      <c r="I2248" t="s">
        <v>315</v>
      </c>
      <c r="J2248" t="s">
        <v>316</v>
      </c>
      <c r="K2248">
        <v>549377</v>
      </c>
      <c r="L2248" t="s">
        <v>286</v>
      </c>
      <c r="M2248">
        <v>-0.03</v>
      </c>
    </row>
    <row r="2249" spans="1:13" x14ac:dyDescent="0.25">
      <c r="A2249">
        <v>2021</v>
      </c>
      <c r="B2249" t="s">
        <v>259</v>
      </c>
      <c r="C2249">
        <v>27123</v>
      </c>
      <c r="D2249" t="s">
        <v>275</v>
      </c>
      <c r="E2249" t="s">
        <v>312</v>
      </c>
      <c r="F2249" t="s">
        <v>313</v>
      </c>
      <c r="G2249" t="s">
        <v>318</v>
      </c>
      <c r="H2249">
        <v>-13487.2947618979</v>
      </c>
      <c r="I2249" t="s">
        <v>315</v>
      </c>
      <c r="J2249" t="s">
        <v>316</v>
      </c>
      <c r="K2249">
        <v>549377</v>
      </c>
      <c r="L2249" t="s">
        <v>286</v>
      </c>
      <c r="M2249">
        <v>-0.02</v>
      </c>
    </row>
    <row r="2250" spans="1:13" x14ac:dyDescent="0.25">
      <c r="A2250">
        <v>2021</v>
      </c>
      <c r="B2250" t="s">
        <v>259</v>
      </c>
      <c r="C2250">
        <v>27123</v>
      </c>
      <c r="D2250" t="s">
        <v>275</v>
      </c>
      <c r="E2250" t="s">
        <v>312</v>
      </c>
      <c r="F2250" t="s">
        <v>313</v>
      </c>
      <c r="G2250" t="s">
        <v>319</v>
      </c>
      <c r="H2250">
        <v>-71514.385979095794</v>
      </c>
      <c r="I2250" t="s">
        <v>315</v>
      </c>
      <c r="J2250" t="s">
        <v>316</v>
      </c>
      <c r="K2250">
        <v>549377</v>
      </c>
      <c r="L2250" t="s">
        <v>286</v>
      </c>
      <c r="M2250">
        <v>-0.13</v>
      </c>
    </row>
    <row r="2251" spans="1:13" x14ac:dyDescent="0.25">
      <c r="A2251">
        <v>2021</v>
      </c>
      <c r="B2251" t="s">
        <v>259</v>
      </c>
      <c r="C2251">
        <v>27123</v>
      </c>
      <c r="D2251" t="s">
        <v>275</v>
      </c>
      <c r="E2251" t="s">
        <v>312</v>
      </c>
      <c r="F2251" t="s">
        <v>313</v>
      </c>
      <c r="G2251" t="s">
        <v>320</v>
      </c>
      <c r="H2251">
        <v>-3419.6873526941599</v>
      </c>
      <c r="I2251" t="s">
        <v>315</v>
      </c>
      <c r="J2251" t="s">
        <v>316</v>
      </c>
      <c r="K2251">
        <v>549377</v>
      </c>
      <c r="L2251" t="s">
        <v>286</v>
      </c>
      <c r="M2251">
        <v>-0.01</v>
      </c>
    </row>
    <row r="2252" spans="1:13" x14ac:dyDescent="0.25">
      <c r="A2252">
        <v>2021</v>
      </c>
      <c r="B2252" t="s">
        <v>259</v>
      </c>
      <c r="C2252">
        <v>27139</v>
      </c>
      <c r="D2252" t="s">
        <v>276</v>
      </c>
      <c r="E2252" t="s">
        <v>312</v>
      </c>
      <c r="F2252" t="s">
        <v>313</v>
      </c>
      <c r="G2252" t="s">
        <v>314</v>
      </c>
      <c r="H2252">
        <v>-21921.900658330302</v>
      </c>
      <c r="I2252" t="s">
        <v>315</v>
      </c>
      <c r="J2252" t="s">
        <v>316</v>
      </c>
      <c r="K2252">
        <v>149568</v>
      </c>
      <c r="L2252" t="s">
        <v>286</v>
      </c>
      <c r="M2252">
        <v>-0.15</v>
      </c>
    </row>
    <row r="2253" spans="1:13" x14ac:dyDescent="0.25">
      <c r="A2253">
        <v>2021</v>
      </c>
      <c r="B2253" t="s">
        <v>259</v>
      </c>
      <c r="C2253">
        <v>27139</v>
      </c>
      <c r="D2253" t="s">
        <v>276</v>
      </c>
      <c r="E2253" t="s">
        <v>312</v>
      </c>
      <c r="F2253" t="s">
        <v>313</v>
      </c>
      <c r="G2253" t="s">
        <v>317</v>
      </c>
      <c r="H2253">
        <v>-71797.808006037507</v>
      </c>
      <c r="I2253" t="s">
        <v>315</v>
      </c>
      <c r="J2253" t="s">
        <v>316</v>
      </c>
      <c r="K2253">
        <v>149568</v>
      </c>
      <c r="L2253" t="s">
        <v>286</v>
      </c>
      <c r="M2253">
        <v>-0.48</v>
      </c>
    </row>
    <row r="2254" spans="1:13" x14ac:dyDescent="0.25">
      <c r="A2254">
        <v>2021</v>
      </c>
      <c r="B2254" t="s">
        <v>259</v>
      </c>
      <c r="C2254">
        <v>27139</v>
      </c>
      <c r="D2254" t="s">
        <v>276</v>
      </c>
      <c r="E2254" t="s">
        <v>312</v>
      </c>
      <c r="F2254" t="s">
        <v>313</v>
      </c>
      <c r="G2254" t="s">
        <v>318</v>
      </c>
      <c r="H2254">
        <v>-17359.925458121299</v>
      </c>
      <c r="I2254" t="s">
        <v>315</v>
      </c>
      <c r="J2254" t="s">
        <v>316</v>
      </c>
      <c r="K2254">
        <v>149568</v>
      </c>
      <c r="L2254" t="s">
        <v>286</v>
      </c>
      <c r="M2254">
        <v>-0.12</v>
      </c>
    </row>
    <row r="2255" spans="1:13" x14ac:dyDescent="0.25">
      <c r="A2255">
        <v>2021</v>
      </c>
      <c r="B2255" t="s">
        <v>259</v>
      </c>
      <c r="C2255">
        <v>27139</v>
      </c>
      <c r="D2255" t="s">
        <v>276</v>
      </c>
      <c r="E2255" t="s">
        <v>312</v>
      </c>
      <c r="F2255" t="s">
        <v>313</v>
      </c>
      <c r="G2255" t="s">
        <v>319</v>
      </c>
      <c r="H2255">
        <v>-24820.708998291899</v>
      </c>
      <c r="I2255" t="s">
        <v>315</v>
      </c>
      <c r="J2255" t="s">
        <v>316</v>
      </c>
      <c r="K2255">
        <v>149568</v>
      </c>
      <c r="L2255" t="s">
        <v>286</v>
      </c>
      <c r="M2255">
        <v>-0.17</v>
      </c>
    </row>
    <row r="2256" spans="1:13" x14ac:dyDescent="0.25">
      <c r="A2256">
        <v>2021</v>
      </c>
      <c r="B2256" t="s">
        <v>259</v>
      </c>
      <c r="C2256">
        <v>27139</v>
      </c>
      <c r="D2256" t="s">
        <v>276</v>
      </c>
      <c r="E2256" t="s">
        <v>312</v>
      </c>
      <c r="F2256" t="s">
        <v>313</v>
      </c>
      <c r="G2256" t="s">
        <v>320</v>
      </c>
      <c r="H2256">
        <v>-6538.2098019003097</v>
      </c>
      <c r="I2256" t="s">
        <v>315</v>
      </c>
      <c r="J2256" t="s">
        <v>316</v>
      </c>
      <c r="K2256">
        <v>149568</v>
      </c>
      <c r="L2256" t="s">
        <v>286</v>
      </c>
      <c r="M2256">
        <v>-0.04</v>
      </c>
    </row>
    <row r="2257" spans="1:13" x14ac:dyDescent="0.25">
      <c r="A2257">
        <v>2021</v>
      </c>
      <c r="B2257" t="s">
        <v>259</v>
      </c>
      <c r="C2257">
        <v>27141</v>
      </c>
      <c r="D2257" t="s">
        <v>277</v>
      </c>
      <c r="E2257" t="s">
        <v>312</v>
      </c>
      <c r="F2257" t="s">
        <v>313</v>
      </c>
      <c r="G2257" t="s">
        <v>314</v>
      </c>
      <c r="H2257">
        <v>-34658.094298832999</v>
      </c>
      <c r="I2257" t="s">
        <v>315</v>
      </c>
      <c r="J2257" t="s">
        <v>316</v>
      </c>
      <c r="K2257">
        <v>96295</v>
      </c>
      <c r="L2257" t="s">
        <v>286</v>
      </c>
      <c r="M2257">
        <v>-0.36</v>
      </c>
    </row>
    <row r="2258" spans="1:13" x14ac:dyDescent="0.25">
      <c r="A2258">
        <v>2021</v>
      </c>
      <c r="B2258" t="s">
        <v>259</v>
      </c>
      <c r="C2258">
        <v>27141</v>
      </c>
      <c r="D2258" t="s">
        <v>277</v>
      </c>
      <c r="E2258" t="s">
        <v>312</v>
      </c>
      <c r="F2258" t="s">
        <v>313</v>
      </c>
      <c r="G2258" t="s">
        <v>317</v>
      </c>
      <c r="H2258">
        <v>-130286.82168377101</v>
      </c>
      <c r="I2258" t="s">
        <v>315</v>
      </c>
      <c r="J2258" t="s">
        <v>316</v>
      </c>
      <c r="K2258">
        <v>96295</v>
      </c>
      <c r="L2258" t="s">
        <v>286</v>
      </c>
      <c r="M2258">
        <v>-1.35</v>
      </c>
    </row>
    <row r="2259" spans="1:13" x14ac:dyDescent="0.25">
      <c r="A2259">
        <v>2021</v>
      </c>
      <c r="B2259" t="s">
        <v>259</v>
      </c>
      <c r="C2259">
        <v>27141</v>
      </c>
      <c r="D2259" t="s">
        <v>277</v>
      </c>
      <c r="E2259" t="s">
        <v>312</v>
      </c>
      <c r="F2259" t="s">
        <v>313</v>
      </c>
      <c r="G2259" t="s">
        <v>318</v>
      </c>
      <c r="H2259">
        <v>-14251.2765237245</v>
      </c>
      <c r="I2259" t="s">
        <v>315</v>
      </c>
      <c r="J2259" t="s">
        <v>316</v>
      </c>
      <c r="K2259">
        <v>96295</v>
      </c>
      <c r="L2259" t="s">
        <v>286</v>
      </c>
      <c r="M2259">
        <v>-0.15</v>
      </c>
    </row>
    <row r="2260" spans="1:13" x14ac:dyDescent="0.25">
      <c r="A2260">
        <v>2021</v>
      </c>
      <c r="B2260" t="s">
        <v>259</v>
      </c>
      <c r="C2260">
        <v>27141</v>
      </c>
      <c r="D2260" t="s">
        <v>277</v>
      </c>
      <c r="E2260" t="s">
        <v>312</v>
      </c>
      <c r="F2260" t="s">
        <v>313</v>
      </c>
      <c r="G2260" t="s">
        <v>319</v>
      </c>
      <c r="H2260">
        <v>-25413.767693811798</v>
      </c>
      <c r="I2260" t="s">
        <v>315</v>
      </c>
      <c r="J2260" t="s">
        <v>316</v>
      </c>
      <c r="K2260">
        <v>96295</v>
      </c>
      <c r="L2260" t="s">
        <v>286</v>
      </c>
      <c r="M2260">
        <v>-0.26</v>
      </c>
    </row>
    <row r="2261" spans="1:13" x14ac:dyDescent="0.25">
      <c r="A2261">
        <v>2021</v>
      </c>
      <c r="B2261" t="s">
        <v>259</v>
      </c>
      <c r="C2261">
        <v>27141</v>
      </c>
      <c r="D2261" t="s">
        <v>277</v>
      </c>
      <c r="E2261" t="s">
        <v>312</v>
      </c>
      <c r="F2261" t="s">
        <v>313</v>
      </c>
      <c r="G2261" t="s">
        <v>320</v>
      </c>
      <c r="H2261">
        <v>-17694.350076432798</v>
      </c>
      <c r="I2261" t="s">
        <v>315</v>
      </c>
      <c r="J2261" t="s">
        <v>316</v>
      </c>
      <c r="K2261">
        <v>96295</v>
      </c>
      <c r="L2261" t="s">
        <v>286</v>
      </c>
      <c r="M2261">
        <v>-0.18</v>
      </c>
    </row>
    <row r="2262" spans="1:13" x14ac:dyDescent="0.25">
      <c r="A2262">
        <v>2021</v>
      </c>
      <c r="B2262" t="s">
        <v>259</v>
      </c>
      <c r="C2262">
        <v>55109</v>
      </c>
      <c r="D2262" t="s">
        <v>280</v>
      </c>
      <c r="E2262" t="s">
        <v>312</v>
      </c>
      <c r="F2262" t="s">
        <v>313</v>
      </c>
      <c r="G2262" t="s">
        <v>314</v>
      </c>
      <c r="H2262">
        <v>-46894.121991327404</v>
      </c>
      <c r="I2262" t="s">
        <v>315</v>
      </c>
      <c r="J2262" t="s">
        <v>316</v>
      </c>
      <c r="K2262">
        <v>92495</v>
      </c>
      <c r="L2262" t="s">
        <v>286</v>
      </c>
      <c r="M2262">
        <v>-0.51</v>
      </c>
    </row>
    <row r="2263" spans="1:13" x14ac:dyDescent="0.25">
      <c r="A2263">
        <v>2021</v>
      </c>
      <c r="B2263" t="s">
        <v>259</v>
      </c>
      <c r="C2263">
        <v>55109</v>
      </c>
      <c r="D2263" t="s">
        <v>280</v>
      </c>
      <c r="E2263" t="s">
        <v>312</v>
      </c>
      <c r="F2263" t="s">
        <v>313</v>
      </c>
      <c r="G2263" t="s">
        <v>317</v>
      </c>
      <c r="H2263">
        <v>-178860.67292900299</v>
      </c>
      <c r="I2263" t="s">
        <v>315</v>
      </c>
      <c r="J2263" t="s">
        <v>316</v>
      </c>
      <c r="K2263">
        <v>92495</v>
      </c>
      <c r="L2263" t="s">
        <v>286</v>
      </c>
      <c r="M2263">
        <v>-1.93</v>
      </c>
    </row>
    <row r="2264" spans="1:13" x14ac:dyDescent="0.25">
      <c r="A2264">
        <v>2021</v>
      </c>
      <c r="B2264" t="s">
        <v>259</v>
      </c>
      <c r="C2264">
        <v>55109</v>
      </c>
      <c r="D2264" t="s">
        <v>280</v>
      </c>
      <c r="E2264" t="s">
        <v>312</v>
      </c>
      <c r="F2264" t="s">
        <v>313</v>
      </c>
      <c r="G2264" t="s">
        <v>318</v>
      </c>
      <c r="H2264">
        <v>-22659.341197772399</v>
      </c>
      <c r="I2264" t="s">
        <v>315</v>
      </c>
      <c r="J2264" t="s">
        <v>316</v>
      </c>
      <c r="K2264">
        <v>92495</v>
      </c>
      <c r="L2264" t="s">
        <v>286</v>
      </c>
      <c r="M2264">
        <v>-0.24</v>
      </c>
    </row>
    <row r="2265" spans="1:13" x14ac:dyDescent="0.25">
      <c r="A2265">
        <v>2021</v>
      </c>
      <c r="B2265" t="s">
        <v>259</v>
      </c>
      <c r="C2265">
        <v>55109</v>
      </c>
      <c r="D2265" t="s">
        <v>280</v>
      </c>
      <c r="E2265" t="s">
        <v>312</v>
      </c>
      <c r="F2265" t="s">
        <v>313</v>
      </c>
      <c r="G2265" t="s">
        <v>319</v>
      </c>
      <c r="H2265">
        <v>-28237.579311674999</v>
      </c>
      <c r="I2265" t="s">
        <v>315</v>
      </c>
      <c r="J2265" t="s">
        <v>316</v>
      </c>
      <c r="K2265">
        <v>92495</v>
      </c>
      <c r="L2265" t="s">
        <v>286</v>
      </c>
      <c r="M2265">
        <v>-0.31</v>
      </c>
    </row>
    <row r="2266" spans="1:13" x14ac:dyDescent="0.25">
      <c r="A2266">
        <v>2021</v>
      </c>
      <c r="B2266" t="s">
        <v>259</v>
      </c>
      <c r="C2266">
        <v>55109</v>
      </c>
      <c r="D2266" t="s">
        <v>280</v>
      </c>
      <c r="E2266" t="s">
        <v>312</v>
      </c>
      <c r="F2266" t="s">
        <v>313</v>
      </c>
      <c r="G2266" t="s">
        <v>320</v>
      </c>
      <c r="H2266">
        <v>-3113.5336390809098</v>
      </c>
      <c r="I2266" t="s">
        <v>315</v>
      </c>
      <c r="J2266" t="s">
        <v>316</v>
      </c>
      <c r="K2266">
        <v>92495</v>
      </c>
      <c r="L2266" t="s">
        <v>286</v>
      </c>
      <c r="M2266">
        <v>-0.03</v>
      </c>
    </row>
    <row r="2267" spans="1:13" x14ac:dyDescent="0.25">
      <c r="A2267">
        <v>2021</v>
      </c>
      <c r="B2267" t="s">
        <v>259</v>
      </c>
      <c r="C2267">
        <v>27163</v>
      </c>
      <c r="D2267" t="s">
        <v>278</v>
      </c>
      <c r="E2267" t="s">
        <v>312</v>
      </c>
      <c r="F2267" t="s">
        <v>313</v>
      </c>
      <c r="G2267" t="s">
        <v>314</v>
      </c>
      <c r="H2267">
        <v>-26417.870841756601</v>
      </c>
      <c r="I2267" t="s">
        <v>315</v>
      </c>
      <c r="J2267" t="s">
        <v>316</v>
      </c>
      <c r="K2267">
        <v>264818</v>
      </c>
      <c r="L2267" t="s">
        <v>286</v>
      </c>
      <c r="M2267">
        <v>-0.1</v>
      </c>
    </row>
    <row r="2268" spans="1:13" x14ac:dyDescent="0.25">
      <c r="A2268">
        <v>2021</v>
      </c>
      <c r="B2268" t="s">
        <v>259</v>
      </c>
      <c r="C2268">
        <v>27163</v>
      </c>
      <c r="D2268" t="s">
        <v>278</v>
      </c>
      <c r="E2268" t="s">
        <v>312</v>
      </c>
      <c r="F2268" t="s">
        <v>313</v>
      </c>
      <c r="G2268" t="s">
        <v>317</v>
      </c>
      <c r="H2268">
        <v>-110133.96728165299</v>
      </c>
      <c r="I2268" t="s">
        <v>315</v>
      </c>
      <c r="J2268" t="s">
        <v>316</v>
      </c>
      <c r="K2268">
        <v>264818</v>
      </c>
      <c r="L2268" t="s">
        <v>286</v>
      </c>
      <c r="M2268">
        <v>-0.42</v>
      </c>
    </row>
    <row r="2269" spans="1:13" x14ac:dyDescent="0.25">
      <c r="A2269">
        <v>2021</v>
      </c>
      <c r="B2269" t="s">
        <v>259</v>
      </c>
      <c r="C2269">
        <v>27163</v>
      </c>
      <c r="D2269" t="s">
        <v>278</v>
      </c>
      <c r="E2269" t="s">
        <v>312</v>
      </c>
      <c r="F2269" t="s">
        <v>313</v>
      </c>
      <c r="G2269" t="s">
        <v>318</v>
      </c>
      <c r="H2269">
        <v>-24680.699973155701</v>
      </c>
      <c r="I2269" t="s">
        <v>315</v>
      </c>
      <c r="J2269" t="s">
        <v>316</v>
      </c>
      <c r="K2269">
        <v>264818</v>
      </c>
      <c r="L2269" t="s">
        <v>286</v>
      </c>
      <c r="M2269">
        <v>-0.09</v>
      </c>
    </row>
    <row r="2270" spans="1:13" x14ac:dyDescent="0.25">
      <c r="A2270">
        <v>2021</v>
      </c>
      <c r="B2270" t="s">
        <v>259</v>
      </c>
      <c r="C2270">
        <v>27163</v>
      </c>
      <c r="D2270" t="s">
        <v>278</v>
      </c>
      <c r="E2270" t="s">
        <v>312</v>
      </c>
      <c r="F2270" t="s">
        <v>313</v>
      </c>
      <c r="G2270" t="s">
        <v>319</v>
      </c>
      <c r="H2270">
        <v>-58559.597085313399</v>
      </c>
      <c r="I2270" t="s">
        <v>315</v>
      </c>
      <c r="J2270" t="s">
        <v>316</v>
      </c>
      <c r="K2270">
        <v>264818</v>
      </c>
      <c r="L2270" t="s">
        <v>286</v>
      </c>
      <c r="M2270">
        <v>-0.22</v>
      </c>
    </row>
    <row r="2271" spans="1:13" x14ac:dyDescent="0.25">
      <c r="A2271">
        <v>2021</v>
      </c>
      <c r="B2271" t="s">
        <v>259</v>
      </c>
      <c r="C2271">
        <v>27163</v>
      </c>
      <c r="D2271" t="s">
        <v>278</v>
      </c>
      <c r="E2271" t="s">
        <v>312</v>
      </c>
      <c r="F2271" t="s">
        <v>313</v>
      </c>
      <c r="G2271" t="s">
        <v>320</v>
      </c>
      <c r="H2271">
        <v>-9861.1431369948696</v>
      </c>
      <c r="I2271" t="s">
        <v>315</v>
      </c>
      <c r="J2271" t="s">
        <v>316</v>
      </c>
      <c r="K2271">
        <v>264818</v>
      </c>
      <c r="L2271" t="s">
        <v>286</v>
      </c>
      <c r="M2271">
        <v>-0.04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workbookViewId="0">
      <selection activeCell="E14" sqref="E14"/>
    </sheetView>
  </sheetViews>
  <sheetFormatPr defaultRowHeight="15" x14ac:dyDescent="0.25"/>
  <cols>
    <col min="1" max="1" width="42.5703125" customWidth="1"/>
    <col min="2" max="2" width="29" customWidth="1"/>
    <col min="3" max="3" width="28.7109375" customWidth="1"/>
  </cols>
  <sheetData>
    <row r="1" spans="1:3" s="1" customFormat="1" x14ac:dyDescent="0.25">
      <c r="A1" s="1" t="s">
        <v>57</v>
      </c>
      <c r="B1" s="1" t="s">
        <v>58</v>
      </c>
      <c r="C1" s="1" t="s">
        <v>59</v>
      </c>
    </row>
    <row r="2" spans="1:3" x14ac:dyDescent="0.25">
      <c r="A2" t="s">
        <v>60</v>
      </c>
      <c r="B2">
        <v>13.2</v>
      </c>
      <c r="C2">
        <v>0.62</v>
      </c>
    </row>
    <row r="3" spans="1:3" x14ac:dyDescent="0.25">
      <c r="A3" t="s">
        <v>61</v>
      </c>
      <c r="B3">
        <v>16.3</v>
      </c>
      <c r="C3">
        <v>0.70499999999999996</v>
      </c>
    </row>
    <row r="4" spans="1:3" x14ac:dyDescent="0.25">
      <c r="A4" t="s">
        <v>62</v>
      </c>
      <c r="B4">
        <v>38.799999999999997</v>
      </c>
      <c r="C4">
        <v>0.86699999999999999</v>
      </c>
    </row>
    <row r="5" spans="1:3" x14ac:dyDescent="0.25">
      <c r="A5" t="s">
        <v>63</v>
      </c>
      <c r="B5">
        <v>38.799999999999997</v>
      </c>
      <c r="C5">
        <v>0.86699999999999999</v>
      </c>
    </row>
    <row r="6" spans="1:3" x14ac:dyDescent="0.25">
      <c r="A6" t="s">
        <v>64</v>
      </c>
      <c r="B6">
        <v>12.5</v>
      </c>
      <c r="C6">
        <v>0.62</v>
      </c>
    </row>
    <row r="7" spans="1:3" x14ac:dyDescent="0.25">
      <c r="A7" t="s">
        <v>65</v>
      </c>
      <c r="B7">
        <v>11.4</v>
      </c>
      <c r="C7">
        <v>0.68500000000000005</v>
      </c>
    </row>
    <row r="8" spans="1:3" x14ac:dyDescent="0.25">
      <c r="A8" t="s">
        <v>66</v>
      </c>
      <c r="B8">
        <v>9.1</v>
      </c>
      <c r="C8">
        <v>0.62</v>
      </c>
    </row>
    <row r="9" spans="1:3" x14ac:dyDescent="0.25">
      <c r="A9" t="s">
        <v>67</v>
      </c>
      <c r="B9">
        <v>9.1999999999999993</v>
      </c>
      <c r="C9">
        <v>0.62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2"/>
  <sheetViews>
    <sheetView zoomScale="115" zoomScaleNormal="115" workbookViewId="0">
      <selection activeCell="G17" sqref="G17"/>
    </sheetView>
  </sheetViews>
  <sheetFormatPr defaultRowHeight="15" x14ac:dyDescent="0.25"/>
  <cols>
    <col min="2" max="2" width="21.28515625" customWidth="1"/>
    <col min="3" max="3" width="18.140625" customWidth="1"/>
    <col min="4" max="4" width="21.42578125" customWidth="1"/>
    <col min="5" max="5" width="18" customWidth="1"/>
    <col min="6" max="6" width="18.140625" customWidth="1"/>
    <col min="7" max="7" width="22.7109375" customWidth="1"/>
    <col min="8" max="8" width="21.42578125" bestFit="1" customWidth="1"/>
    <col min="9" max="9" width="13.7109375" customWidth="1"/>
  </cols>
  <sheetData>
    <row r="1" spans="1:9" s="1" customFormat="1" x14ac:dyDescent="0.25">
      <c r="A1" s="6" t="s">
        <v>68</v>
      </c>
      <c r="B1" s="6" t="s">
        <v>69</v>
      </c>
      <c r="C1" s="6" t="s">
        <v>70</v>
      </c>
      <c r="D1" s="6" t="s">
        <v>71</v>
      </c>
      <c r="E1" s="6" t="s">
        <v>72</v>
      </c>
      <c r="F1" s="6" t="s">
        <v>73</v>
      </c>
      <c r="G1" s="1" t="s">
        <v>74</v>
      </c>
      <c r="H1" s="7" t="s">
        <v>75</v>
      </c>
      <c r="I1" s="7" t="s">
        <v>76</v>
      </c>
    </row>
    <row r="2" spans="1:9" x14ac:dyDescent="0.25">
      <c r="A2">
        <v>2020</v>
      </c>
      <c r="B2" t="s">
        <v>77</v>
      </c>
      <c r="C2">
        <v>413.01</v>
      </c>
      <c r="D2">
        <v>424.91</v>
      </c>
      <c r="E2">
        <v>355.23</v>
      </c>
      <c r="F2">
        <v>127.46</v>
      </c>
      <c r="G2" s="5">
        <v>33916.299999999996</v>
      </c>
      <c r="H2">
        <f xml:space="preserve"> 0.00395 * 10^6</f>
        <v>3950.0000000000005</v>
      </c>
      <c r="I2">
        <f xml:space="preserve"> 0.00358 * 10^6</f>
        <v>3580</v>
      </c>
    </row>
    <row r="3" spans="1:9" x14ac:dyDescent="0.25">
      <c r="A3">
        <v>2021</v>
      </c>
      <c r="B3" t="s">
        <v>77</v>
      </c>
      <c r="C3">
        <v>412.27199999999999</v>
      </c>
      <c r="D3">
        <v>425.43800000000005</v>
      </c>
      <c r="E3">
        <v>355.23</v>
      </c>
      <c r="F3">
        <f>F2 + ((F7 - F2) / (C7 - C2)) * (C3 - C2)</f>
        <v>124.746</v>
      </c>
      <c r="G3">
        <v>33916.299999999996</v>
      </c>
      <c r="H3">
        <f t="shared" ref="H3:H32" si="0" xml:space="preserve"> 0.00395 * 10^6</f>
        <v>3950.0000000000005</v>
      </c>
      <c r="I3">
        <f t="shared" ref="I3:I32" si="1" xml:space="preserve"> 0.00358 * 10^6</f>
        <v>3580</v>
      </c>
    </row>
    <row r="4" spans="1:9" x14ac:dyDescent="0.25">
      <c r="A4">
        <v>2022</v>
      </c>
      <c r="B4" t="s">
        <v>77</v>
      </c>
      <c r="C4">
        <v>411.53399999999999</v>
      </c>
      <c r="D4">
        <v>425.96600000000001</v>
      </c>
      <c r="E4">
        <v>355.23</v>
      </c>
      <c r="F4">
        <f>F2 + ((F7 - F2) / (C7 - C2)) * (C4 - C2)</f>
        <v>122.032</v>
      </c>
      <c r="G4">
        <v>33916.299999999996</v>
      </c>
      <c r="H4">
        <f t="shared" si="0"/>
        <v>3950.0000000000005</v>
      </c>
      <c r="I4">
        <f t="shared" si="1"/>
        <v>3580</v>
      </c>
    </row>
    <row r="5" spans="1:9" x14ac:dyDescent="0.25">
      <c r="A5">
        <v>2023</v>
      </c>
      <c r="B5" t="s">
        <v>77</v>
      </c>
      <c r="C5">
        <v>410.79599999999999</v>
      </c>
      <c r="D5">
        <v>426.49400000000003</v>
      </c>
      <c r="E5">
        <v>355.23</v>
      </c>
      <c r="F5">
        <f>F2 + ((F7 - F2) / (C7 - C2)) * (C5 - C2)</f>
        <v>119.318</v>
      </c>
      <c r="G5">
        <v>33916.299999999996</v>
      </c>
      <c r="H5">
        <f t="shared" si="0"/>
        <v>3950.0000000000005</v>
      </c>
      <c r="I5">
        <f t="shared" si="1"/>
        <v>3580</v>
      </c>
    </row>
    <row r="6" spans="1:9" x14ac:dyDescent="0.25">
      <c r="A6">
        <v>2024</v>
      </c>
      <c r="B6" t="s">
        <v>77</v>
      </c>
      <c r="C6">
        <v>410.05799999999999</v>
      </c>
      <c r="D6">
        <v>427.02199999999999</v>
      </c>
      <c r="E6">
        <v>355.23</v>
      </c>
      <c r="F6">
        <f>F2 + ((F7 - F2) / (C7 - C2)) * (C6 - C2)</f>
        <v>116.604</v>
      </c>
      <c r="G6">
        <v>33916.299999999996</v>
      </c>
      <c r="H6">
        <f t="shared" si="0"/>
        <v>3950.0000000000005</v>
      </c>
      <c r="I6">
        <f t="shared" si="1"/>
        <v>3580</v>
      </c>
    </row>
    <row r="7" spans="1:9" x14ac:dyDescent="0.25">
      <c r="A7">
        <f>A6+1</f>
        <v>2025</v>
      </c>
      <c r="B7" t="s">
        <v>77</v>
      </c>
      <c r="C7">
        <v>409.32</v>
      </c>
      <c r="D7">
        <v>427.55</v>
      </c>
      <c r="E7">
        <v>355.23</v>
      </c>
      <c r="F7">
        <v>113.89</v>
      </c>
      <c r="G7">
        <v>33916.299999999996</v>
      </c>
      <c r="H7">
        <f t="shared" si="0"/>
        <v>3950.0000000000005</v>
      </c>
      <c r="I7">
        <f t="shared" si="1"/>
        <v>3580</v>
      </c>
    </row>
    <row r="8" spans="1:9" x14ac:dyDescent="0.25">
      <c r="A8">
        <f t="shared" ref="A8:A32" si="2">A7+1</f>
        <v>2026</v>
      </c>
      <c r="B8" t="s">
        <v>77</v>
      </c>
      <c r="C8">
        <v>408.83600000000001</v>
      </c>
      <c r="D8">
        <v>427.86799999999999</v>
      </c>
      <c r="E8">
        <v>355.23</v>
      </c>
      <c r="F8">
        <f>F7 + ((F12 - F7) / (C12 - C7)) * (C8 - C7)</f>
        <v>112.08200000000008</v>
      </c>
      <c r="G8">
        <v>33916.299999999996</v>
      </c>
      <c r="H8">
        <f t="shared" si="0"/>
        <v>3950.0000000000005</v>
      </c>
      <c r="I8">
        <f t="shared" si="1"/>
        <v>3580</v>
      </c>
    </row>
    <row r="9" spans="1:9" x14ac:dyDescent="0.25">
      <c r="A9">
        <f t="shared" si="2"/>
        <v>2027</v>
      </c>
      <c r="B9" t="s">
        <v>77</v>
      </c>
      <c r="C9">
        <v>408.35199999999998</v>
      </c>
      <c r="D9">
        <v>428.18599999999998</v>
      </c>
      <c r="E9">
        <v>355.23</v>
      </c>
      <c r="F9">
        <f>F7 + ((F12 - F7) / (C12 - C7)) * (C9 - C7)</f>
        <v>110.27399999999996</v>
      </c>
      <c r="G9">
        <v>33916.299999999996</v>
      </c>
      <c r="H9">
        <f t="shared" si="0"/>
        <v>3950.0000000000005</v>
      </c>
      <c r="I9">
        <f t="shared" si="1"/>
        <v>3580</v>
      </c>
    </row>
    <row r="10" spans="1:9" x14ac:dyDescent="0.25">
      <c r="A10">
        <f t="shared" si="2"/>
        <v>2028</v>
      </c>
      <c r="B10" t="s">
        <v>77</v>
      </c>
      <c r="C10">
        <v>407.86799999999999</v>
      </c>
      <c r="D10">
        <v>428.50400000000002</v>
      </c>
      <c r="E10">
        <v>355.23</v>
      </c>
      <c r="F10">
        <f>F7 + ((F12 - F7) / (C12 - C7)) * (C10 - C7)</f>
        <v>108.46600000000004</v>
      </c>
      <c r="G10">
        <v>33916.299999999996</v>
      </c>
      <c r="H10">
        <f t="shared" si="0"/>
        <v>3950.0000000000005</v>
      </c>
      <c r="I10">
        <f t="shared" si="1"/>
        <v>3580</v>
      </c>
    </row>
    <row r="11" spans="1:9" x14ac:dyDescent="0.25">
      <c r="A11">
        <f t="shared" si="2"/>
        <v>2029</v>
      </c>
      <c r="B11" t="s">
        <v>77</v>
      </c>
      <c r="C11">
        <v>407.38399999999996</v>
      </c>
      <c r="D11">
        <v>428.822</v>
      </c>
      <c r="E11">
        <v>355.23</v>
      </c>
      <c r="F11">
        <f>F7 + ((F12 - F7) / (C12 - C7)) * (C11 - C7)</f>
        <v>106.65799999999992</v>
      </c>
      <c r="G11">
        <v>33916.299999999996</v>
      </c>
      <c r="H11">
        <f t="shared" si="0"/>
        <v>3950.0000000000005</v>
      </c>
      <c r="I11">
        <f t="shared" si="1"/>
        <v>3580</v>
      </c>
    </row>
    <row r="12" spans="1:9" x14ac:dyDescent="0.25">
      <c r="A12">
        <f t="shared" si="2"/>
        <v>2030</v>
      </c>
      <c r="B12" t="s">
        <v>77</v>
      </c>
      <c r="C12">
        <v>406.9</v>
      </c>
      <c r="D12">
        <v>429.14</v>
      </c>
      <c r="E12">
        <v>355.23</v>
      </c>
      <c r="F12">
        <v>104.85</v>
      </c>
      <c r="G12">
        <v>33916.299999999996</v>
      </c>
      <c r="H12">
        <f t="shared" si="0"/>
        <v>3950.0000000000005</v>
      </c>
      <c r="I12">
        <f t="shared" si="1"/>
        <v>3580</v>
      </c>
    </row>
    <row r="13" spans="1:9" x14ac:dyDescent="0.25">
      <c r="A13">
        <f t="shared" si="2"/>
        <v>2031</v>
      </c>
      <c r="B13" t="s">
        <v>77</v>
      </c>
      <c r="C13">
        <v>405.69799999999998</v>
      </c>
      <c r="D13">
        <v>429.19799999999998</v>
      </c>
      <c r="E13">
        <v>355.23</v>
      </c>
      <c r="F13">
        <f>F12 + ((F17 - F12) / (C17 - C12)) * (C13 - C12)</f>
        <v>98.449999999999989</v>
      </c>
      <c r="G13">
        <v>33916.299999999996</v>
      </c>
      <c r="H13">
        <f t="shared" si="0"/>
        <v>3950.0000000000005</v>
      </c>
      <c r="I13">
        <f t="shared" si="1"/>
        <v>3580</v>
      </c>
    </row>
    <row r="14" spans="1:9" x14ac:dyDescent="0.25">
      <c r="A14">
        <f t="shared" si="2"/>
        <v>2032</v>
      </c>
      <c r="B14" t="s">
        <v>77</v>
      </c>
      <c r="C14">
        <v>404.49599999999998</v>
      </c>
      <c r="D14">
        <v>429.25599999999997</v>
      </c>
      <c r="E14">
        <v>355.23</v>
      </c>
      <c r="F14">
        <f>F12 + ((F17 - F12) / (C17 - C12)) * (C14 - C12)</f>
        <v>92.05</v>
      </c>
      <c r="G14">
        <v>33916.299999999996</v>
      </c>
      <c r="H14">
        <f t="shared" si="0"/>
        <v>3950.0000000000005</v>
      </c>
      <c r="I14">
        <f t="shared" si="1"/>
        <v>3580</v>
      </c>
    </row>
    <row r="15" spans="1:9" x14ac:dyDescent="0.25">
      <c r="A15">
        <f t="shared" si="2"/>
        <v>2033</v>
      </c>
      <c r="B15" t="s">
        <v>77</v>
      </c>
      <c r="C15">
        <v>403.29399999999998</v>
      </c>
      <c r="D15">
        <v>429.31400000000002</v>
      </c>
      <c r="E15">
        <v>355.23</v>
      </c>
      <c r="F15">
        <f>F12 + ((F17 - F12) / (C17 - C12)) * (C15 - C12)</f>
        <v>85.649999999999991</v>
      </c>
      <c r="G15">
        <v>33916.299999999996</v>
      </c>
      <c r="H15">
        <f t="shared" si="0"/>
        <v>3950.0000000000005</v>
      </c>
      <c r="I15">
        <f t="shared" si="1"/>
        <v>3580</v>
      </c>
    </row>
    <row r="16" spans="1:9" x14ac:dyDescent="0.25">
      <c r="A16">
        <f t="shared" si="2"/>
        <v>2034</v>
      </c>
      <c r="B16" t="s">
        <v>77</v>
      </c>
      <c r="C16">
        <v>402.09199999999998</v>
      </c>
      <c r="D16">
        <v>429.37200000000001</v>
      </c>
      <c r="E16">
        <v>355.23</v>
      </c>
      <c r="F16">
        <f>F12 + ((F17 - F12) / (C17 - C12)) * (C16 - C12)</f>
        <v>79.25</v>
      </c>
      <c r="G16">
        <v>33916.299999999996</v>
      </c>
      <c r="H16">
        <f t="shared" si="0"/>
        <v>3950.0000000000005</v>
      </c>
      <c r="I16">
        <f t="shared" si="1"/>
        <v>3580</v>
      </c>
    </row>
    <row r="17" spans="1:9" x14ac:dyDescent="0.25">
      <c r="A17">
        <f t="shared" si="2"/>
        <v>2035</v>
      </c>
      <c r="B17" t="s">
        <v>77</v>
      </c>
      <c r="C17">
        <v>400.89</v>
      </c>
      <c r="D17">
        <v>429.43</v>
      </c>
      <c r="E17">
        <v>355.23</v>
      </c>
      <c r="F17">
        <v>72.849999999999994</v>
      </c>
      <c r="G17">
        <v>33916.299999999996</v>
      </c>
      <c r="H17">
        <f t="shared" si="0"/>
        <v>3950.0000000000005</v>
      </c>
      <c r="I17">
        <f t="shared" si="1"/>
        <v>3580</v>
      </c>
    </row>
    <row r="18" spans="1:9" x14ac:dyDescent="0.25">
      <c r="A18">
        <f t="shared" si="2"/>
        <v>2036</v>
      </c>
      <c r="B18" t="s">
        <v>77</v>
      </c>
      <c r="C18">
        <v>399.70400000000001</v>
      </c>
      <c r="D18">
        <v>429.42200000000003</v>
      </c>
      <c r="E18">
        <v>355.23</v>
      </c>
      <c r="F18">
        <f>F17 + ((F22 - F17) / (C22 - C17)) * (C18 - C17)</f>
        <v>70.484000000000037</v>
      </c>
      <c r="G18">
        <v>33916.299999999996</v>
      </c>
      <c r="H18">
        <f t="shared" si="0"/>
        <v>3950.0000000000005</v>
      </c>
      <c r="I18">
        <f t="shared" si="1"/>
        <v>3580</v>
      </c>
    </row>
    <row r="19" spans="1:9" x14ac:dyDescent="0.25">
      <c r="A19">
        <f t="shared" si="2"/>
        <v>2037</v>
      </c>
      <c r="B19" t="s">
        <v>77</v>
      </c>
      <c r="C19">
        <v>398.51799999999997</v>
      </c>
      <c r="D19">
        <v>429.41399999999999</v>
      </c>
      <c r="E19">
        <v>355.23</v>
      </c>
      <c r="F19">
        <f>F17 + ((F22 - F17) / (C22 - C17)) * (C19 - C17)</f>
        <v>68.117999999999981</v>
      </c>
      <c r="G19">
        <v>33916.299999999996</v>
      </c>
      <c r="H19">
        <f t="shared" si="0"/>
        <v>3950.0000000000005</v>
      </c>
      <c r="I19">
        <f t="shared" si="1"/>
        <v>3580</v>
      </c>
    </row>
    <row r="20" spans="1:9" x14ac:dyDescent="0.25">
      <c r="A20">
        <f t="shared" si="2"/>
        <v>2038</v>
      </c>
      <c r="B20" t="s">
        <v>77</v>
      </c>
      <c r="C20">
        <v>397.33199999999999</v>
      </c>
      <c r="D20">
        <v>429.40600000000001</v>
      </c>
      <c r="E20">
        <v>355.23</v>
      </c>
      <c r="F20">
        <f>F17 + ((F22 - F17) / (C22 - C17)) * (C20 - C17)</f>
        <v>65.752000000000024</v>
      </c>
      <c r="G20">
        <v>33916.299999999996</v>
      </c>
      <c r="H20">
        <f t="shared" si="0"/>
        <v>3950.0000000000005</v>
      </c>
      <c r="I20">
        <f t="shared" si="1"/>
        <v>3580</v>
      </c>
    </row>
    <row r="21" spans="1:9" x14ac:dyDescent="0.25">
      <c r="A21">
        <f t="shared" si="2"/>
        <v>2039</v>
      </c>
      <c r="B21" t="s">
        <v>77</v>
      </c>
      <c r="C21">
        <v>396.14599999999996</v>
      </c>
      <c r="D21">
        <v>429.39799999999997</v>
      </c>
      <c r="E21">
        <v>355.23</v>
      </c>
      <c r="F21">
        <f>F17 + ((F22 - F17) / (C22 - C17)) * (C21 - C17)</f>
        <v>63.385999999999953</v>
      </c>
      <c r="G21">
        <v>33916.299999999996</v>
      </c>
      <c r="H21">
        <f t="shared" si="0"/>
        <v>3950.0000000000005</v>
      </c>
      <c r="I21">
        <f t="shared" si="1"/>
        <v>3580</v>
      </c>
    </row>
    <row r="22" spans="1:9" x14ac:dyDescent="0.25">
      <c r="A22">
        <f t="shared" si="2"/>
        <v>2040</v>
      </c>
      <c r="B22" t="s">
        <v>77</v>
      </c>
      <c r="C22">
        <v>394.96</v>
      </c>
      <c r="D22">
        <v>429.39</v>
      </c>
      <c r="E22">
        <v>355.23</v>
      </c>
      <c r="F22">
        <v>61.02</v>
      </c>
      <c r="G22">
        <v>33916.299999999996</v>
      </c>
      <c r="H22">
        <f t="shared" si="0"/>
        <v>3950.0000000000005</v>
      </c>
      <c r="I22">
        <f t="shared" si="1"/>
        <v>3580</v>
      </c>
    </row>
    <row r="23" spans="1:9" x14ac:dyDescent="0.25">
      <c r="A23">
        <f t="shared" si="2"/>
        <v>2041</v>
      </c>
      <c r="B23" t="s">
        <v>77</v>
      </c>
      <c r="C23">
        <v>393.79399999999998</v>
      </c>
      <c r="D23">
        <v>429.262</v>
      </c>
      <c r="E23">
        <v>355.23</v>
      </c>
      <c r="F23">
        <f>F22 + ((F27 - F22) / (C27 - C22)) * (C23 - C22)</f>
        <v>62.38</v>
      </c>
      <c r="G23">
        <v>33916.299999999996</v>
      </c>
      <c r="H23">
        <f t="shared" si="0"/>
        <v>3950.0000000000005</v>
      </c>
      <c r="I23">
        <f t="shared" si="1"/>
        <v>3580</v>
      </c>
    </row>
    <row r="24" spans="1:9" x14ac:dyDescent="0.25">
      <c r="A24">
        <f t="shared" si="2"/>
        <v>2042</v>
      </c>
      <c r="B24" t="s">
        <v>77</v>
      </c>
      <c r="C24">
        <v>392.62799999999999</v>
      </c>
      <c r="D24">
        <v>429.13400000000001</v>
      </c>
      <c r="E24">
        <v>355.23</v>
      </c>
      <c r="F24">
        <f>F22 + ((F27 - F22) / (C27 - C22)) * (C24 - C22)</f>
        <v>63.74</v>
      </c>
      <c r="G24">
        <v>33916.299999999996</v>
      </c>
      <c r="H24">
        <f t="shared" si="0"/>
        <v>3950.0000000000005</v>
      </c>
      <c r="I24">
        <f t="shared" si="1"/>
        <v>3580</v>
      </c>
    </row>
    <row r="25" spans="1:9" x14ac:dyDescent="0.25">
      <c r="A25">
        <f t="shared" si="2"/>
        <v>2043</v>
      </c>
      <c r="B25" t="s">
        <v>77</v>
      </c>
      <c r="C25">
        <v>391.46199999999999</v>
      </c>
      <c r="D25">
        <v>429.00599999999997</v>
      </c>
      <c r="E25">
        <v>355.23</v>
      </c>
      <c r="F25">
        <f>F22 + ((F27 - F22) / (C27 - C22)) * (C25 - C22)</f>
        <v>65.099999999999994</v>
      </c>
      <c r="G25">
        <v>33916.299999999996</v>
      </c>
      <c r="H25">
        <f t="shared" si="0"/>
        <v>3950.0000000000005</v>
      </c>
      <c r="I25">
        <f t="shared" si="1"/>
        <v>3580</v>
      </c>
    </row>
    <row r="26" spans="1:9" x14ac:dyDescent="0.25">
      <c r="A26">
        <f t="shared" si="2"/>
        <v>2044</v>
      </c>
      <c r="B26" t="s">
        <v>77</v>
      </c>
      <c r="C26">
        <v>390.29599999999999</v>
      </c>
      <c r="D26">
        <v>428.87799999999999</v>
      </c>
      <c r="E26">
        <v>355.23</v>
      </c>
      <c r="F26">
        <f>F22 + ((F27 - F22) / (C27 - C22)) * (C26 - C22)</f>
        <v>66.459999999999994</v>
      </c>
      <c r="G26">
        <v>33916.299999999996</v>
      </c>
      <c r="H26">
        <f t="shared" si="0"/>
        <v>3950.0000000000005</v>
      </c>
      <c r="I26">
        <f t="shared" si="1"/>
        <v>3580</v>
      </c>
    </row>
    <row r="27" spans="1:9" x14ac:dyDescent="0.25">
      <c r="A27">
        <f t="shared" si="2"/>
        <v>2045</v>
      </c>
      <c r="B27" t="s">
        <v>77</v>
      </c>
      <c r="C27">
        <v>389.13</v>
      </c>
      <c r="D27">
        <v>428.75</v>
      </c>
      <c r="E27">
        <v>355.23</v>
      </c>
      <c r="F27">
        <v>67.819999999999993</v>
      </c>
      <c r="G27">
        <v>33916.299999999996</v>
      </c>
      <c r="H27">
        <f t="shared" si="0"/>
        <v>3950.0000000000005</v>
      </c>
      <c r="I27">
        <f t="shared" si="1"/>
        <v>3580</v>
      </c>
    </row>
    <row r="28" spans="1:9" x14ac:dyDescent="0.25">
      <c r="A28">
        <f t="shared" si="2"/>
        <v>2046</v>
      </c>
      <c r="B28" t="s">
        <v>77</v>
      </c>
      <c r="C28">
        <v>387.98</v>
      </c>
      <c r="D28">
        <v>428.54399999999998</v>
      </c>
      <c r="E28">
        <v>355.23</v>
      </c>
      <c r="F28">
        <f>F27 + ((F32 - F27) / (C32 - C27)) * (C28 - C27)</f>
        <v>64.120000000000061</v>
      </c>
      <c r="G28">
        <v>33916.299999999996</v>
      </c>
      <c r="H28">
        <f t="shared" si="0"/>
        <v>3950.0000000000005</v>
      </c>
      <c r="I28">
        <f t="shared" si="1"/>
        <v>3580</v>
      </c>
    </row>
    <row r="29" spans="1:9" x14ac:dyDescent="0.25">
      <c r="A29">
        <f t="shared" si="2"/>
        <v>2047</v>
      </c>
      <c r="B29" t="s">
        <v>77</v>
      </c>
      <c r="C29">
        <v>386.83</v>
      </c>
      <c r="D29">
        <v>428.33800000000002</v>
      </c>
      <c r="E29">
        <v>355.23</v>
      </c>
      <c r="F29">
        <f>F27 + ((F32 - F27) / (C32 - C27)) * (C29 - C27)</f>
        <v>60.419999999999959</v>
      </c>
      <c r="G29">
        <v>33916.299999999996</v>
      </c>
      <c r="H29">
        <f t="shared" si="0"/>
        <v>3950.0000000000005</v>
      </c>
      <c r="I29">
        <f t="shared" si="1"/>
        <v>3580</v>
      </c>
    </row>
    <row r="30" spans="1:9" x14ac:dyDescent="0.25">
      <c r="A30">
        <f t="shared" si="2"/>
        <v>2048</v>
      </c>
      <c r="B30" t="s">
        <v>77</v>
      </c>
      <c r="C30">
        <v>385.68</v>
      </c>
      <c r="D30">
        <v>428.13200000000001</v>
      </c>
      <c r="E30">
        <v>355.23</v>
      </c>
      <c r="F30">
        <f>F27 + ((F32 - F27) / (C32 - C27)) * (C30 - C27)</f>
        <v>56.720000000000034</v>
      </c>
      <c r="G30">
        <v>33916.299999999996</v>
      </c>
      <c r="H30">
        <f t="shared" si="0"/>
        <v>3950.0000000000005</v>
      </c>
      <c r="I30">
        <f t="shared" si="1"/>
        <v>3580</v>
      </c>
    </row>
    <row r="31" spans="1:9" x14ac:dyDescent="0.25">
      <c r="A31">
        <f t="shared" si="2"/>
        <v>2049</v>
      </c>
      <c r="B31" t="s">
        <v>77</v>
      </c>
      <c r="C31">
        <v>384.53</v>
      </c>
      <c r="D31">
        <v>427.92600000000004</v>
      </c>
      <c r="E31">
        <v>355.23</v>
      </c>
      <c r="F31">
        <f>F27 + ((F32 - F27) / (C32 - C27)) * (C31 - C27)</f>
        <v>53.019999999999925</v>
      </c>
      <c r="G31">
        <v>33916.299999999996</v>
      </c>
      <c r="H31">
        <f t="shared" si="0"/>
        <v>3950.0000000000005</v>
      </c>
      <c r="I31">
        <f t="shared" si="1"/>
        <v>3580</v>
      </c>
    </row>
    <row r="32" spans="1:9" x14ac:dyDescent="0.25">
      <c r="A32">
        <f t="shared" si="2"/>
        <v>2050</v>
      </c>
      <c r="B32" t="s">
        <v>77</v>
      </c>
      <c r="C32">
        <v>383.38</v>
      </c>
      <c r="D32">
        <v>427.72</v>
      </c>
      <c r="E32">
        <v>355.23</v>
      </c>
      <c r="F32">
        <v>49.32</v>
      </c>
      <c r="G32">
        <v>33916.299999999996</v>
      </c>
      <c r="H32">
        <f t="shared" si="0"/>
        <v>3950.0000000000005</v>
      </c>
      <c r="I32">
        <f t="shared" si="1"/>
        <v>3580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6AB9F-6D6F-4C88-8814-100BD402A958}">
  <dimension ref="A1:C4"/>
  <sheetViews>
    <sheetView workbookViewId="0">
      <selection activeCell="B17" sqref="B17"/>
    </sheetView>
  </sheetViews>
  <sheetFormatPr defaultRowHeight="15" x14ac:dyDescent="0.25"/>
  <cols>
    <col min="1" max="1" width="16" customWidth="1"/>
    <col min="2" max="2" width="51.42578125" customWidth="1"/>
    <col min="3" max="3" width="26.28515625" customWidth="1"/>
  </cols>
  <sheetData>
    <row r="1" spans="1:3" x14ac:dyDescent="0.25">
      <c r="A1" t="s">
        <v>78</v>
      </c>
      <c r="B1" t="s">
        <v>79</v>
      </c>
      <c r="C1" t="s">
        <v>80</v>
      </c>
    </row>
    <row r="2" spans="1:3" x14ac:dyDescent="0.25">
      <c r="A2" t="s">
        <v>81</v>
      </c>
      <c r="B2">
        <v>37.844029636270804</v>
      </c>
      <c r="C2">
        <f xml:space="preserve"> B2 * 10</f>
        <v>378.44029636270807</v>
      </c>
    </row>
    <row r="3" spans="1:3" x14ac:dyDescent="0.25">
      <c r="A3" t="s">
        <v>82</v>
      </c>
      <c r="B3">
        <v>145.51450894247785</v>
      </c>
      <c r="C3">
        <f t="shared" ref="C3:C4" si="0" xml:space="preserve"> B3 * 10</f>
        <v>1455.1450894247785</v>
      </c>
    </row>
    <row r="4" spans="1:3" x14ac:dyDescent="0.25">
      <c r="A4" t="s">
        <v>83</v>
      </c>
      <c r="B4">
        <v>158.85714285714286</v>
      </c>
      <c r="C4">
        <f t="shared" si="0"/>
        <v>1588.5714285714287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M36" sqref="M35:M36"/>
    </sheetView>
  </sheetViews>
  <sheetFormatPr defaultRowHeight="15" x14ac:dyDescent="0.25"/>
  <sheetData>
    <row r="1" spans="1:4" s="1" customFormat="1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89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90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91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92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93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94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" sqref="D1"/>
    </sheetView>
  </sheetViews>
  <sheetFormatPr defaultRowHeight="15" x14ac:dyDescent="0.25"/>
  <sheetData>
    <row r="1" spans="1:4" s="1" customFormat="1" x14ac:dyDescent="0.25">
      <c r="A1" s="1" t="s">
        <v>95</v>
      </c>
      <c r="B1" s="1" t="s">
        <v>96</v>
      </c>
      <c r="C1" s="1" t="s">
        <v>97</v>
      </c>
      <c r="D1" s="1" t="s">
        <v>98</v>
      </c>
    </row>
    <row r="2" spans="1:4" x14ac:dyDescent="0.25">
      <c r="A2" t="s">
        <v>99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100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101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94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102</v>
      </c>
      <c r="B1" s="1" t="s">
        <v>103</v>
      </c>
      <c r="C1" s="1" t="s">
        <v>104</v>
      </c>
      <c r="D1" s="1"/>
    </row>
    <row r="2" spans="1:4" x14ac:dyDescent="0.25">
      <c r="A2" t="s">
        <v>105</v>
      </c>
      <c r="B2" t="s">
        <v>106</v>
      </c>
      <c r="C2" s="3">
        <v>-2.5000000000000001E-2</v>
      </c>
    </row>
    <row r="3" spans="1:4" x14ac:dyDescent="0.25">
      <c r="A3" t="s">
        <v>107</v>
      </c>
      <c r="B3" t="s">
        <v>108</v>
      </c>
      <c r="C3" s="3">
        <v>-1.2999999999999999E-2</v>
      </c>
    </row>
    <row r="4" spans="1:4" x14ac:dyDescent="0.25">
      <c r="A4" t="s">
        <v>109</v>
      </c>
      <c r="B4" t="s">
        <v>110</v>
      </c>
      <c r="C4" s="3">
        <v>-5.8000000000000003E-2</v>
      </c>
    </row>
    <row r="5" spans="1:4" x14ac:dyDescent="0.25">
      <c r="A5" t="s">
        <v>109</v>
      </c>
      <c r="B5" t="s">
        <v>111</v>
      </c>
      <c r="C5" s="3">
        <v>-0.02</v>
      </c>
    </row>
    <row r="6" spans="1:4" x14ac:dyDescent="0.25">
      <c r="A6" t="s">
        <v>112</v>
      </c>
      <c r="B6" t="s">
        <v>113</v>
      </c>
      <c r="C6" s="3">
        <v>-8.0000000000000002E-3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9"/>
  <sheetViews>
    <sheetView workbookViewId="0">
      <selection activeCell="B8" sqref="B8"/>
    </sheetView>
  </sheetViews>
  <sheetFormatPr defaultRowHeight="15" x14ac:dyDescent="0.25"/>
  <cols>
    <col min="1" max="1" width="30.85546875" customWidth="1"/>
    <col min="2" max="2" width="27.28515625" customWidth="1"/>
    <col min="3" max="3" width="24.5703125" customWidth="1"/>
  </cols>
  <sheetData>
    <row r="1" spans="1:3" s="1" customFormat="1" x14ac:dyDescent="0.25">
      <c r="A1" s="1" t="s">
        <v>57</v>
      </c>
      <c r="B1" s="1" t="s">
        <v>58</v>
      </c>
      <c r="C1" s="1" t="s">
        <v>59</v>
      </c>
    </row>
    <row r="2" spans="1:3" x14ac:dyDescent="0.25">
      <c r="A2" t="s">
        <v>60</v>
      </c>
      <c r="B2">
        <v>13.2</v>
      </c>
      <c r="C2">
        <v>0.62</v>
      </c>
    </row>
    <row r="3" spans="1:3" x14ac:dyDescent="0.25">
      <c r="A3" t="s">
        <v>61</v>
      </c>
      <c r="B3">
        <v>16.3</v>
      </c>
      <c r="C3">
        <v>0.70499999999999996</v>
      </c>
    </row>
    <row r="4" spans="1:3" x14ac:dyDescent="0.25">
      <c r="A4" t="s">
        <v>244</v>
      </c>
      <c r="B4">
        <v>38.799999999999997</v>
      </c>
      <c r="C4">
        <v>0.86699999999999999</v>
      </c>
    </row>
    <row r="5" spans="1:3" x14ac:dyDescent="0.25">
      <c r="A5" t="s">
        <v>245</v>
      </c>
      <c r="B5">
        <v>38.799999999999997</v>
      </c>
      <c r="C5">
        <v>0.86699999999999999</v>
      </c>
    </row>
    <row r="6" spans="1:3" x14ac:dyDescent="0.25">
      <c r="A6" t="s">
        <v>64</v>
      </c>
      <c r="B6">
        <v>12.5</v>
      </c>
      <c r="C6">
        <v>0.62</v>
      </c>
    </row>
    <row r="7" spans="1:3" x14ac:dyDescent="0.25">
      <c r="A7" t="s">
        <v>65</v>
      </c>
      <c r="B7">
        <v>11.4</v>
      </c>
      <c r="C7">
        <v>0.68500000000000005</v>
      </c>
    </row>
    <row r="8" spans="1:3" x14ac:dyDescent="0.25">
      <c r="A8" t="s">
        <v>66</v>
      </c>
      <c r="B8">
        <v>9.1</v>
      </c>
      <c r="C8">
        <v>0.62</v>
      </c>
    </row>
    <row r="9" spans="1:3" x14ac:dyDescent="0.25">
      <c r="A9" t="s">
        <v>67</v>
      </c>
      <c r="B9">
        <v>9.1999999999999993</v>
      </c>
      <c r="C9">
        <v>0.62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DE928-5E41-4857-9D51-91BD8EEB412E}">
  <dimension ref="A1:J15"/>
  <sheetViews>
    <sheetView workbookViewId="0">
      <selection activeCell="J5" sqref="J5"/>
    </sheetView>
  </sheetViews>
  <sheetFormatPr defaultRowHeight="15" x14ac:dyDescent="0.25"/>
  <cols>
    <col min="10" max="10" width="63.42578125" customWidth="1"/>
  </cols>
  <sheetData>
    <row r="1" spans="1:10" x14ac:dyDescent="0.25">
      <c r="A1" t="s">
        <v>114</v>
      </c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7</v>
      </c>
      <c r="I1" t="s">
        <v>121</v>
      </c>
      <c r="J1" t="s">
        <v>122</v>
      </c>
    </row>
    <row r="2" spans="1:10" x14ac:dyDescent="0.25">
      <c r="A2">
        <v>2019</v>
      </c>
      <c r="B2">
        <v>9.1</v>
      </c>
      <c r="C2">
        <v>8.4</v>
      </c>
      <c r="D2">
        <v>9.6</v>
      </c>
      <c r="E2">
        <v>17.2</v>
      </c>
      <c r="F2">
        <v>16</v>
      </c>
      <c r="G2">
        <v>18.3</v>
      </c>
      <c r="H2">
        <v>11913</v>
      </c>
      <c r="I2">
        <v>2040</v>
      </c>
      <c r="J2" t="s">
        <v>123</v>
      </c>
    </row>
    <row r="3" spans="1:10" x14ac:dyDescent="0.25">
      <c r="A3">
        <v>2021</v>
      </c>
      <c r="B3">
        <v>7.2</v>
      </c>
      <c r="C3">
        <v>6.7</v>
      </c>
      <c r="D3">
        <v>7.9</v>
      </c>
      <c r="E3">
        <v>18.2</v>
      </c>
      <c r="F3">
        <v>15.4</v>
      </c>
      <c r="G3">
        <v>21</v>
      </c>
      <c r="H3">
        <v>9247</v>
      </c>
      <c r="I3">
        <v>2040</v>
      </c>
      <c r="J3" t="s">
        <v>123</v>
      </c>
    </row>
    <row r="4" spans="1:10" x14ac:dyDescent="0.25">
      <c r="A4">
        <v>2019</v>
      </c>
      <c r="B4">
        <v>15.1</v>
      </c>
      <c r="C4">
        <v>14.4</v>
      </c>
      <c r="D4">
        <v>16.2</v>
      </c>
      <c r="E4">
        <v>24.2</v>
      </c>
      <c r="F4">
        <v>22.8</v>
      </c>
      <c r="G4">
        <v>25.6</v>
      </c>
      <c r="H4">
        <v>8366</v>
      </c>
      <c r="I4">
        <v>2040</v>
      </c>
      <c r="J4" t="s">
        <v>124</v>
      </c>
    </row>
    <row r="5" spans="1:10" x14ac:dyDescent="0.25">
      <c r="A5">
        <v>2019</v>
      </c>
      <c r="B5">
        <v>16.600000000000001</v>
      </c>
      <c r="C5">
        <v>14.3</v>
      </c>
      <c r="D5">
        <v>18.600000000000001</v>
      </c>
      <c r="E5">
        <v>25.4</v>
      </c>
      <c r="F5">
        <v>23.5</v>
      </c>
      <c r="G5">
        <v>27.2</v>
      </c>
      <c r="H5">
        <v>1847</v>
      </c>
      <c r="I5">
        <v>2040</v>
      </c>
      <c r="J5" t="s">
        <v>125</v>
      </c>
    </row>
    <row r="6" spans="1:10" x14ac:dyDescent="0.25">
      <c r="A6">
        <v>2021</v>
      </c>
      <c r="B6">
        <v>11.4</v>
      </c>
      <c r="C6">
        <v>10.199999999999999</v>
      </c>
      <c r="D6">
        <v>12.5</v>
      </c>
      <c r="E6">
        <v>27.3</v>
      </c>
      <c r="F6">
        <v>19.7</v>
      </c>
      <c r="G6">
        <v>34.9</v>
      </c>
      <c r="H6">
        <v>4162</v>
      </c>
      <c r="I6">
        <v>2040</v>
      </c>
      <c r="J6" t="s">
        <v>124</v>
      </c>
    </row>
    <row r="7" spans="1:10" x14ac:dyDescent="0.25">
      <c r="A7">
        <v>2021</v>
      </c>
      <c r="B7">
        <v>15</v>
      </c>
      <c r="C7">
        <v>11.3</v>
      </c>
      <c r="D7">
        <v>20</v>
      </c>
      <c r="E7">
        <v>30.7</v>
      </c>
      <c r="F7">
        <v>23.3</v>
      </c>
      <c r="G7">
        <v>38.1</v>
      </c>
      <c r="H7">
        <v>697</v>
      </c>
      <c r="I7">
        <v>2040</v>
      </c>
      <c r="J7" t="s">
        <v>125</v>
      </c>
    </row>
    <row r="8" spans="1:10" x14ac:dyDescent="0.25">
      <c r="A8">
        <v>2019</v>
      </c>
      <c r="B8">
        <v>19.2</v>
      </c>
      <c r="C8">
        <v>17.600000000000001</v>
      </c>
      <c r="D8">
        <v>20.7</v>
      </c>
      <c r="E8">
        <v>32.5</v>
      </c>
      <c r="F8">
        <v>31</v>
      </c>
      <c r="G8">
        <v>34</v>
      </c>
      <c r="H8">
        <v>5952</v>
      </c>
      <c r="I8">
        <v>2040</v>
      </c>
      <c r="J8" t="s">
        <v>126</v>
      </c>
    </row>
    <row r="9" spans="1:10" x14ac:dyDescent="0.25">
      <c r="A9">
        <v>2021</v>
      </c>
      <c r="B9">
        <v>21.2</v>
      </c>
      <c r="C9">
        <v>17.399999999999999</v>
      </c>
      <c r="D9">
        <v>24.1</v>
      </c>
      <c r="E9">
        <v>37.700000000000003</v>
      </c>
      <c r="F9">
        <v>33.4</v>
      </c>
      <c r="G9">
        <v>42</v>
      </c>
      <c r="H9">
        <v>2092</v>
      </c>
      <c r="I9">
        <v>2040</v>
      </c>
      <c r="J9" t="s">
        <v>126</v>
      </c>
    </row>
    <row r="10" spans="1:10" x14ac:dyDescent="0.25">
      <c r="A10">
        <v>2019</v>
      </c>
      <c r="B10">
        <v>9.1999999999999993</v>
      </c>
      <c r="C10">
        <v>8.6</v>
      </c>
      <c r="D10">
        <v>9.6999999999999993</v>
      </c>
      <c r="E10">
        <v>17.399999999999999</v>
      </c>
      <c r="F10">
        <v>16.3</v>
      </c>
      <c r="G10">
        <v>18.5</v>
      </c>
      <c r="H10">
        <v>31037</v>
      </c>
      <c r="I10">
        <v>2050</v>
      </c>
      <c r="J10" t="s">
        <v>123</v>
      </c>
    </row>
    <row r="11" spans="1:10" x14ac:dyDescent="0.25">
      <c r="A11">
        <v>2021</v>
      </c>
      <c r="B11">
        <v>7.2</v>
      </c>
      <c r="C11">
        <v>6.6</v>
      </c>
      <c r="D11">
        <v>7.9</v>
      </c>
      <c r="E11">
        <v>18.100000000000001</v>
      </c>
      <c r="F11">
        <v>15.5</v>
      </c>
      <c r="G11">
        <v>20.8</v>
      </c>
      <c r="H11">
        <v>22131</v>
      </c>
      <c r="I11">
        <v>2050</v>
      </c>
      <c r="J11" t="s">
        <v>123</v>
      </c>
    </row>
    <row r="12" spans="1:10" x14ac:dyDescent="0.25">
      <c r="A12">
        <v>2019</v>
      </c>
      <c r="B12">
        <v>15.4</v>
      </c>
      <c r="C12">
        <v>14.5</v>
      </c>
      <c r="D12">
        <v>16.399999999999999</v>
      </c>
      <c r="E12">
        <v>24.5</v>
      </c>
      <c r="F12">
        <v>23.2</v>
      </c>
      <c r="G12">
        <v>25.7</v>
      </c>
      <c r="H12">
        <v>24506</v>
      </c>
      <c r="I12">
        <v>2050</v>
      </c>
      <c r="J12" t="s">
        <v>124</v>
      </c>
    </row>
    <row r="13" spans="1:10" x14ac:dyDescent="0.25">
      <c r="A13">
        <v>2021</v>
      </c>
      <c r="B13">
        <v>12.2</v>
      </c>
      <c r="C13">
        <v>11.1</v>
      </c>
      <c r="D13">
        <v>13.4</v>
      </c>
      <c r="E13">
        <v>28.4</v>
      </c>
      <c r="F13">
        <v>21.9</v>
      </c>
      <c r="G13">
        <v>34.9</v>
      </c>
      <c r="H13">
        <v>10922</v>
      </c>
      <c r="I13">
        <v>2050</v>
      </c>
      <c r="J13" t="s">
        <v>124</v>
      </c>
    </row>
    <row r="14" spans="1:10" x14ac:dyDescent="0.25">
      <c r="A14">
        <v>2019</v>
      </c>
      <c r="B14">
        <v>19.2</v>
      </c>
      <c r="C14">
        <v>17.600000000000001</v>
      </c>
      <c r="D14">
        <v>20.7</v>
      </c>
      <c r="E14">
        <v>32.5</v>
      </c>
      <c r="F14">
        <v>31</v>
      </c>
      <c r="G14">
        <v>34</v>
      </c>
      <c r="H14">
        <v>14628</v>
      </c>
      <c r="I14">
        <v>2050</v>
      </c>
      <c r="J14" t="s">
        <v>126</v>
      </c>
    </row>
    <row r="15" spans="1:10" x14ac:dyDescent="0.25">
      <c r="A15">
        <v>2021</v>
      </c>
      <c r="B15">
        <v>21.6</v>
      </c>
      <c r="C15">
        <v>17.5</v>
      </c>
      <c r="D15">
        <v>24.5</v>
      </c>
      <c r="E15">
        <v>37.799999999999997</v>
      </c>
      <c r="F15">
        <v>33.5</v>
      </c>
      <c r="G15">
        <v>42.1</v>
      </c>
      <c r="H15">
        <v>4731</v>
      </c>
      <c r="I15">
        <v>2050</v>
      </c>
      <c r="J15" t="s">
        <v>126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F4" sqref="F4"/>
    </sheetView>
  </sheetViews>
  <sheetFormatPr defaultRowHeight="15" x14ac:dyDescent="0.25"/>
  <cols>
    <col min="1" max="1" width="35.140625" customWidth="1"/>
  </cols>
  <sheetData>
    <row r="1" spans="1:2" s="1" customFormat="1" x14ac:dyDescent="0.25">
      <c r="A1" s="1" t="s">
        <v>127</v>
      </c>
      <c r="B1" s="1" t="s">
        <v>128</v>
      </c>
    </row>
    <row r="2" spans="1:2" x14ac:dyDescent="0.25">
      <c r="A2" t="s">
        <v>88</v>
      </c>
      <c r="B2" s="3">
        <v>5.8000000000000003E-2</v>
      </c>
    </row>
    <row r="3" spans="1:2" x14ac:dyDescent="0.25">
      <c r="A3" t="s">
        <v>89</v>
      </c>
      <c r="B3" s="3">
        <v>2.64E-2</v>
      </c>
    </row>
    <row r="4" spans="1:2" x14ac:dyDescent="0.25">
      <c r="A4" t="s">
        <v>90</v>
      </c>
      <c r="B4" s="3">
        <v>2.6700000000000002E-2</v>
      </c>
    </row>
    <row r="5" spans="1:2" x14ac:dyDescent="0.25">
      <c r="A5" t="s">
        <v>91</v>
      </c>
      <c r="B5" s="3">
        <v>4.8000000000000001E-2</v>
      </c>
    </row>
    <row r="6" spans="1:2" x14ac:dyDescent="0.25">
      <c r="A6" t="s">
        <v>92</v>
      </c>
      <c r="B6" s="3">
        <v>5.3100000000000001E-2</v>
      </c>
    </row>
    <row r="7" spans="1:2" x14ac:dyDescent="0.25">
      <c r="A7" t="s">
        <v>93</v>
      </c>
      <c r="B7" s="3">
        <v>9.4500000000000001E-2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46CB-0E62-4050-8558-BB22D3C1896E}">
  <dimension ref="A1:B2"/>
  <sheetViews>
    <sheetView workbookViewId="0">
      <selection activeCell="F17" sqref="F17"/>
    </sheetView>
  </sheetViews>
  <sheetFormatPr defaultRowHeight="15" x14ac:dyDescent="0.25"/>
  <sheetData>
    <row r="1" spans="1:2" x14ac:dyDescent="0.25">
      <c r="A1" t="s">
        <v>246</v>
      </c>
      <c r="B1" t="s">
        <v>247</v>
      </c>
    </row>
    <row r="2" spans="1:2" x14ac:dyDescent="0.25">
      <c r="A2">
        <v>3.7547826086956522</v>
      </c>
      <c r="B2">
        <v>15.264347826086953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129</v>
      </c>
      <c r="B1" s="1" t="s">
        <v>130</v>
      </c>
      <c r="C1" s="1" t="s">
        <v>131</v>
      </c>
      <c r="D1" s="1" t="s">
        <v>76</v>
      </c>
      <c r="E1" s="1" t="s">
        <v>132</v>
      </c>
      <c r="F1" s="1" t="s">
        <v>133</v>
      </c>
    </row>
    <row r="2" spans="1:6" x14ac:dyDescent="0.25">
      <c r="A2" t="s">
        <v>134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135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136</v>
      </c>
      <c r="B1" s="1" t="s">
        <v>137</v>
      </c>
      <c r="C1" s="1" t="s">
        <v>42</v>
      </c>
      <c r="D1" s="1" t="s">
        <v>138</v>
      </c>
    </row>
    <row r="2" spans="1:4" x14ac:dyDescent="0.25">
      <c r="A2" t="s">
        <v>139</v>
      </c>
      <c r="B2">
        <v>25</v>
      </c>
      <c r="C2" t="s">
        <v>140</v>
      </c>
      <c r="D2" t="s">
        <v>141</v>
      </c>
    </row>
    <row r="3" spans="1:4" x14ac:dyDescent="0.25">
      <c r="A3" t="s">
        <v>142</v>
      </c>
      <c r="B3" t="s">
        <v>143</v>
      </c>
      <c r="C3" t="s">
        <v>140</v>
      </c>
      <c r="D3" t="s">
        <v>141</v>
      </c>
    </row>
    <row r="4" spans="1:4" x14ac:dyDescent="0.25">
      <c r="A4" t="s">
        <v>144</v>
      </c>
      <c r="B4">
        <v>-0.4</v>
      </c>
      <c r="C4" t="s">
        <v>140</v>
      </c>
      <c r="D4" t="s">
        <v>141</v>
      </c>
    </row>
    <row r="5" spans="1:4" x14ac:dyDescent="0.25">
      <c r="A5" t="s">
        <v>145</v>
      </c>
      <c r="B5">
        <v>0.5</v>
      </c>
      <c r="C5" t="s">
        <v>146</v>
      </c>
      <c r="D5" t="s">
        <v>147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A3" sqref="A3"/>
    </sheetView>
  </sheetViews>
  <sheetFormatPr defaultRowHeight="15" x14ac:dyDescent="0.25"/>
  <sheetData>
    <row r="1" spans="1:5" s="1" customFormat="1" x14ac:dyDescent="0.25">
      <c r="A1" s="1" t="s">
        <v>137</v>
      </c>
      <c r="B1" s="1" t="s">
        <v>148</v>
      </c>
      <c r="C1" s="1" t="s">
        <v>149</v>
      </c>
      <c r="D1" s="1" t="s">
        <v>150</v>
      </c>
      <c r="E1" s="1" t="s">
        <v>151</v>
      </c>
    </row>
    <row r="2" spans="1:5" x14ac:dyDescent="0.25">
      <c r="A2" t="s">
        <v>152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153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A21" sqref="A21"/>
    </sheetView>
  </sheetViews>
  <sheetFormatPr defaultRowHeight="15" x14ac:dyDescent="0.25"/>
  <cols>
    <col min="1" max="1" width="45.7109375" customWidth="1"/>
    <col min="2" max="2" width="47.7109375" customWidth="1"/>
    <col min="3" max="3" width="34.5703125" customWidth="1"/>
  </cols>
  <sheetData>
    <row r="1" spans="1:3" s="1" customFormat="1" x14ac:dyDescent="0.25">
      <c r="A1" s="1" t="s">
        <v>154</v>
      </c>
      <c r="B1" s="1" t="s">
        <v>155</v>
      </c>
      <c r="C1" s="1" t="s">
        <v>156</v>
      </c>
    </row>
    <row r="2" spans="1:3" x14ac:dyDescent="0.25">
      <c r="A2" t="s">
        <v>157</v>
      </c>
      <c r="B2">
        <v>2</v>
      </c>
      <c r="C2">
        <v>2.34</v>
      </c>
    </row>
    <row r="3" spans="1:3" x14ac:dyDescent="0.25">
      <c r="A3" t="s">
        <v>158</v>
      </c>
      <c r="B3">
        <v>0.87</v>
      </c>
      <c r="C3">
        <v>1.1399999999999999</v>
      </c>
    </row>
    <row r="4" spans="1:3" x14ac:dyDescent="0.25">
      <c r="A4" t="s">
        <v>159</v>
      </c>
      <c r="B4">
        <v>7.44</v>
      </c>
      <c r="C4">
        <v>15</v>
      </c>
    </row>
    <row r="5" spans="1:3" x14ac:dyDescent="0.25">
      <c r="A5" t="s">
        <v>160</v>
      </c>
      <c r="B5">
        <v>12.9</v>
      </c>
      <c r="C5">
        <v>16.100000000000001</v>
      </c>
    </row>
    <row r="6" spans="1:3" x14ac:dyDescent="0.25">
      <c r="A6" t="s">
        <v>161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sqref="A1:C10"/>
    </sheetView>
  </sheetViews>
  <sheetFormatPr defaultRowHeight="15" x14ac:dyDescent="0.25"/>
  <cols>
    <col min="1" max="1" width="22" customWidth="1"/>
    <col min="2" max="2" width="35.5703125" customWidth="1"/>
    <col min="3" max="3" width="47.85546875" customWidth="1"/>
  </cols>
  <sheetData>
    <row r="1" spans="1:3" s="1" customFormat="1" x14ac:dyDescent="0.25">
      <c r="A1" s="1" t="s">
        <v>162</v>
      </c>
      <c r="B1" s="1" t="s">
        <v>163</v>
      </c>
      <c r="C1" s="1" t="s">
        <v>164</v>
      </c>
    </row>
    <row r="2" spans="1:3" x14ac:dyDescent="0.25">
      <c r="A2" t="s">
        <v>165</v>
      </c>
      <c r="B2">
        <v>1</v>
      </c>
      <c r="C2">
        <v>1.9E-3</v>
      </c>
    </row>
    <row r="3" spans="1:3" x14ac:dyDescent="0.25">
      <c r="A3" t="s">
        <v>165</v>
      </c>
      <c r="B3">
        <v>1.01</v>
      </c>
      <c r="C3">
        <v>2.8999999999999998E-3</v>
      </c>
    </row>
    <row r="4" spans="1:3" x14ac:dyDescent="0.25">
      <c r="A4" t="s">
        <v>165</v>
      </c>
      <c r="B4">
        <v>2</v>
      </c>
      <c r="C4">
        <v>3.8E-3</v>
      </c>
    </row>
    <row r="5" spans="1:3" x14ac:dyDescent="0.25">
      <c r="A5" t="s">
        <v>166</v>
      </c>
      <c r="B5">
        <v>1</v>
      </c>
      <c r="C5">
        <v>1.4E-3</v>
      </c>
    </row>
    <row r="6" spans="1:3" x14ac:dyDescent="0.25">
      <c r="A6" t="s">
        <v>166</v>
      </c>
      <c r="B6">
        <v>1.01</v>
      </c>
      <c r="C6">
        <v>2E-3</v>
      </c>
    </row>
    <row r="7" spans="1:3" x14ac:dyDescent="0.25">
      <c r="A7" t="s">
        <v>166</v>
      </c>
      <c r="B7">
        <v>2</v>
      </c>
      <c r="C7">
        <v>2.7000000000000001E-3</v>
      </c>
    </row>
    <row r="8" spans="1:3" x14ac:dyDescent="0.25">
      <c r="A8" t="s">
        <v>167</v>
      </c>
      <c r="B8">
        <v>1</v>
      </c>
      <c r="C8">
        <v>1E-3</v>
      </c>
    </row>
    <row r="9" spans="1:3" x14ac:dyDescent="0.25">
      <c r="A9" t="s">
        <v>167</v>
      </c>
      <c r="B9">
        <v>1.01</v>
      </c>
      <c r="C9">
        <v>1.4E-3</v>
      </c>
    </row>
    <row r="10" spans="1:3" x14ac:dyDescent="0.25">
      <c r="A10" t="s">
        <v>167</v>
      </c>
      <c r="B10">
        <v>2</v>
      </c>
      <c r="C10">
        <v>1.9E-3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168</v>
      </c>
      <c r="B1" s="1" t="s">
        <v>169</v>
      </c>
      <c r="C1" s="1" t="s">
        <v>170</v>
      </c>
    </row>
    <row r="2" spans="1:3" x14ac:dyDescent="0.25">
      <c r="A2" t="s">
        <v>171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172</v>
      </c>
      <c r="B4">
        <v>1E-3</v>
      </c>
      <c r="C4">
        <v>2E-3</v>
      </c>
    </row>
    <row r="5" spans="1:3" x14ac:dyDescent="0.25">
      <c r="A5" t="s">
        <v>173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topLeftCell="A7" workbookViewId="0">
      <selection activeCell="E11" sqref="E11"/>
    </sheetView>
  </sheetViews>
  <sheetFormatPr defaultRowHeight="15" x14ac:dyDescent="0.25"/>
  <cols>
    <col min="1" max="1" width="19.7109375" bestFit="1" customWidth="1"/>
  </cols>
  <sheetData>
    <row r="1" spans="1:5" s="1" customFormat="1" x14ac:dyDescent="0.25">
      <c r="A1" s="1" t="s">
        <v>174</v>
      </c>
      <c r="B1" s="1" t="s">
        <v>175</v>
      </c>
      <c r="C1" s="1" t="s">
        <v>176</v>
      </c>
      <c r="D1" s="1" t="s">
        <v>177</v>
      </c>
      <c r="E1" s="1" t="s">
        <v>178</v>
      </c>
    </row>
    <row r="2" spans="1:5" x14ac:dyDescent="0.25">
      <c r="A2" t="s">
        <v>179</v>
      </c>
      <c r="B2" t="s">
        <v>180</v>
      </c>
      <c r="D2">
        <v>0.16</v>
      </c>
      <c r="E2">
        <v>0.28999999999999998</v>
      </c>
    </row>
    <row r="3" spans="1:5" x14ac:dyDescent="0.25">
      <c r="A3" t="s">
        <v>181</v>
      </c>
      <c r="B3" t="s">
        <v>180</v>
      </c>
      <c r="D3">
        <v>0.39</v>
      </c>
      <c r="E3">
        <v>0.59</v>
      </c>
    </row>
    <row r="4" spans="1:5" x14ac:dyDescent="0.25">
      <c r="A4" t="s">
        <v>179</v>
      </c>
      <c r="B4" t="s">
        <v>182</v>
      </c>
      <c r="D4">
        <v>0.17</v>
      </c>
      <c r="E4">
        <v>0.39</v>
      </c>
    </row>
    <row r="5" spans="1:5" x14ac:dyDescent="0.25">
      <c r="A5" t="s">
        <v>183</v>
      </c>
      <c r="B5" t="s">
        <v>180</v>
      </c>
      <c r="C5" t="s">
        <v>184</v>
      </c>
      <c r="D5">
        <v>0.84</v>
      </c>
    </row>
    <row r="6" spans="1:5" x14ac:dyDescent="0.25">
      <c r="A6" t="s">
        <v>185</v>
      </c>
      <c r="B6" t="s">
        <v>182</v>
      </c>
      <c r="C6" s="4">
        <v>19500</v>
      </c>
      <c r="D6">
        <v>0.84</v>
      </c>
    </row>
    <row r="7" spans="1:5" x14ac:dyDescent="0.25">
      <c r="A7" t="s">
        <v>186</v>
      </c>
      <c r="B7" t="s">
        <v>182</v>
      </c>
      <c r="C7" s="4">
        <v>26000</v>
      </c>
      <c r="D7">
        <v>0.59</v>
      </c>
      <c r="E7">
        <v>1.1000000000000001</v>
      </c>
    </row>
    <row r="8" spans="1:5" x14ac:dyDescent="0.25">
      <c r="A8" t="s">
        <v>183</v>
      </c>
      <c r="B8" t="s">
        <v>182</v>
      </c>
      <c r="C8" t="s">
        <v>187</v>
      </c>
      <c r="D8">
        <v>0.44</v>
      </c>
      <c r="E8">
        <v>1.1399999999999999</v>
      </c>
    </row>
    <row r="9" spans="1:5" x14ac:dyDescent="0.25">
      <c r="A9" t="s">
        <v>188</v>
      </c>
      <c r="B9" t="s">
        <v>182</v>
      </c>
      <c r="C9" s="4">
        <v>30000</v>
      </c>
      <c r="D9">
        <v>0.97</v>
      </c>
    </row>
    <row r="10" spans="1:5" x14ac:dyDescent="0.25">
      <c r="A10" t="s">
        <v>189</v>
      </c>
      <c r="B10" t="s">
        <v>182</v>
      </c>
      <c r="C10" s="4">
        <v>32000</v>
      </c>
      <c r="D10">
        <v>0.49</v>
      </c>
    </row>
    <row r="11" spans="1:5" x14ac:dyDescent="0.25">
      <c r="A11" t="s">
        <v>190</v>
      </c>
      <c r="B11" t="s">
        <v>182</v>
      </c>
      <c r="C11" s="4">
        <v>37000</v>
      </c>
      <c r="D11">
        <v>0.9</v>
      </c>
      <c r="E11">
        <v>1.5</v>
      </c>
    </row>
    <row r="12" spans="1:5" x14ac:dyDescent="0.25">
      <c r="A12" t="s">
        <v>191</v>
      </c>
      <c r="B12" t="s">
        <v>182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102</v>
      </c>
      <c r="B1" s="1" t="s">
        <v>192</v>
      </c>
      <c r="C1" s="1" t="s">
        <v>193</v>
      </c>
      <c r="D1" s="1" t="s">
        <v>194</v>
      </c>
      <c r="E1" s="1" t="s">
        <v>195</v>
      </c>
    </row>
    <row r="2" spans="1:5" x14ac:dyDescent="0.25">
      <c r="A2" t="s">
        <v>196</v>
      </c>
      <c r="B2" t="s">
        <v>197</v>
      </c>
      <c r="C2" t="s">
        <v>198</v>
      </c>
      <c r="D2" t="s">
        <v>199</v>
      </c>
      <c r="E2" t="s">
        <v>200</v>
      </c>
    </row>
    <row r="3" spans="1:5" x14ac:dyDescent="0.25">
      <c r="A3" t="s">
        <v>201</v>
      </c>
      <c r="B3" t="s">
        <v>202</v>
      </c>
      <c r="C3" t="s">
        <v>203</v>
      </c>
      <c r="D3" t="s">
        <v>204</v>
      </c>
      <c r="E3" t="s">
        <v>205</v>
      </c>
    </row>
    <row r="4" spans="1:5" x14ac:dyDescent="0.25">
      <c r="A4" t="s">
        <v>206</v>
      </c>
      <c r="B4" t="s">
        <v>207</v>
      </c>
      <c r="C4" t="s">
        <v>208</v>
      </c>
      <c r="D4" t="s">
        <v>209</v>
      </c>
      <c r="E4">
        <v>0.1</v>
      </c>
    </row>
    <row r="5" spans="1:5" x14ac:dyDescent="0.25">
      <c r="A5" t="s">
        <v>206</v>
      </c>
      <c r="B5" t="s">
        <v>207</v>
      </c>
      <c r="C5" t="s">
        <v>208</v>
      </c>
      <c r="D5" t="s">
        <v>199</v>
      </c>
      <c r="E5">
        <v>0.39</v>
      </c>
    </row>
    <row r="6" spans="1:5" x14ac:dyDescent="0.25">
      <c r="A6" t="s">
        <v>210</v>
      </c>
      <c r="B6" t="s">
        <v>211</v>
      </c>
      <c r="C6" t="s">
        <v>212</v>
      </c>
      <c r="D6" t="s">
        <v>209</v>
      </c>
      <c r="E6">
        <v>0.59</v>
      </c>
    </row>
    <row r="7" spans="1:5" x14ac:dyDescent="0.25">
      <c r="A7" t="s">
        <v>210</v>
      </c>
      <c r="B7" t="s">
        <v>211</v>
      </c>
      <c r="C7" t="s">
        <v>212</v>
      </c>
      <c r="D7" t="s">
        <v>213</v>
      </c>
      <c r="E7">
        <v>0.79</v>
      </c>
    </row>
    <row r="8" spans="1:5" x14ac:dyDescent="0.25">
      <c r="A8" t="s">
        <v>214</v>
      </c>
      <c r="B8" t="s">
        <v>215</v>
      </c>
      <c r="C8" t="s">
        <v>216</v>
      </c>
      <c r="D8" t="s">
        <v>209</v>
      </c>
      <c r="E8" t="s">
        <v>217</v>
      </c>
    </row>
    <row r="9" spans="1:5" x14ac:dyDescent="0.25">
      <c r="A9" t="s">
        <v>214</v>
      </c>
      <c r="B9" t="s">
        <v>215</v>
      </c>
      <c r="C9" t="s">
        <v>216</v>
      </c>
      <c r="D9" t="s">
        <v>199</v>
      </c>
      <c r="E9" t="s">
        <v>218</v>
      </c>
    </row>
    <row r="10" spans="1:5" x14ac:dyDescent="0.25">
      <c r="A10" t="s">
        <v>219</v>
      </c>
      <c r="B10" t="s">
        <v>220</v>
      </c>
      <c r="C10" t="s">
        <v>221</v>
      </c>
      <c r="D10" t="s">
        <v>209</v>
      </c>
      <c r="E10">
        <v>0.28000000000000003</v>
      </c>
    </row>
    <row r="11" spans="1:5" x14ac:dyDescent="0.25">
      <c r="A11" t="s">
        <v>219</v>
      </c>
      <c r="B11" t="s">
        <v>220</v>
      </c>
      <c r="C11" t="s">
        <v>221</v>
      </c>
      <c r="D11" t="s">
        <v>199</v>
      </c>
      <c r="E11">
        <v>0.9</v>
      </c>
    </row>
    <row r="12" spans="1:5" x14ac:dyDescent="0.25">
      <c r="A12" t="s">
        <v>222</v>
      </c>
      <c r="B12" t="s">
        <v>211</v>
      </c>
      <c r="C12" t="s">
        <v>223</v>
      </c>
      <c r="D12" t="s">
        <v>209</v>
      </c>
      <c r="E12">
        <v>0.2</v>
      </c>
    </row>
    <row r="13" spans="1:5" x14ac:dyDescent="0.25">
      <c r="A13" t="s">
        <v>222</v>
      </c>
      <c r="B13" t="s">
        <v>211</v>
      </c>
      <c r="C13" t="s">
        <v>223</v>
      </c>
      <c r="D13" t="s">
        <v>199</v>
      </c>
      <c r="E13" t="s">
        <v>224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D21" sqref="D21"/>
    </sheetView>
  </sheetViews>
  <sheetFormatPr defaultRowHeight="15" x14ac:dyDescent="0.25"/>
  <cols>
    <col min="1" max="1" width="32.5703125" customWidth="1"/>
    <col min="2" max="2" width="55.5703125" customWidth="1"/>
    <col min="3" max="3" width="53.42578125" customWidth="1"/>
    <col min="4" max="4" width="35.85546875" customWidth="1"/>
    <col min="5" max="5" width="41.5703125" customWidth="1"/>
  </cols>
  <sheetData>
    <row r="1" spans="1:5" s="1" customFormat="1" x14ac:dyDescent="0.25">
      <c r="A1" s="1" t="s">
        <v>225</v>
      </c>
      <c r="B1" s="1" t="s">
        <v>226</v>
      </c>
      <c r="C1" s="1" t="s">
        <v>227</v>
      </c>
      <c r="D1" s="1" t="s">
        <v>228</v>
      </c>
      <c r="E1" s="1" t="s">
        <v>229</v>
      </c>
    </row>
    <row r="2" spans="1:5" x14ac:dyDescent="0.25">
      <c r="A2" t="s">
        <v>230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231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232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233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234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235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B62" sqref="B2:B62"/>
    </sheetView>
  </sheetViews>
  <sheetFormatPr defaultRowHeight="15" x14ac:dyDescent="0.25"/>
  <sheetData>
    <row r="1" spans="1:5" x14ac:dyDescent="0.25">
      <c r="A1" t="s">
        <v>236</v>
      </c>
      <c r="B1" t="s">
        <v>237</v>
      </c>
      <c r="C1" t="s">
        <v>238</v>
      </c>
      <c r="D1" t="s">
        <v>239</v>
      </c>
      <c r="E1" t="s">
        <v>240</v>
      </c>
    </row>
    <row r="2" spans="1:5" x14ac:dyDescent="0.25">
      <c r="A2" t="s">
        <v>241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241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241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241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241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241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241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241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241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241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241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241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241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241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241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241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241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241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241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241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241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241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241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241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241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241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241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241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241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241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241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241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241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241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241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241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241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241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241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241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241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241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241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241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241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241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241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241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241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241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241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241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241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241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241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241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241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241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241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241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241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242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242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242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242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242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242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242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242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242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242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242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242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242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242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242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242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242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242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242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242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242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242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242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242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242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242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242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242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242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242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242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242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242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242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242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242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242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242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242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242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242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242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242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242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242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242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242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242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242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242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242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242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242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242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242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242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242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242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242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242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242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243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243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243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243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243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243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243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243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243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243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243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243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243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243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243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243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243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243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243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243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243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243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243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243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243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243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243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243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243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243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243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243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243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243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243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243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243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243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243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243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243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243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243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243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243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243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243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243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243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243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243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243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243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243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243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243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243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243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243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243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243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TripDistances</vt:lpstr>
      <vt:lpstr>ProjectTypes</vt:lpstr>
      <vt:lpstr>DefaultLifetime</vt:lpstr>
      <vt:lpstr>CPRGCountyEmissions</vt:lpstr>
      <vt:lpstr>TransitDependencyAdjustments</vt:lpstr>
      <vt:lpstr>GREETCarbonIntensity</vt:lpstr>
      <vt:lpstr>FuelEfficiency</vt:lpstr>
      <vt:lpstr>MobilityServiceVMTReduction</vt:lpstr>
      <vt:lpstr>OCTAMobilityHubVMT</vt:lpstr>
      <vt:lpstr>AccesstoTransitImpact</vt:lpstr>
      <vt:lpstr>AdjustmentFactorsAndTripLengths</vt:lpstr>
      <vt:lpstr>VMTByCommunityType</vt:lpstr>
      <vt:lpstr>TotalVMTReductionPotential</vt:lpstr>
      <vt:lpstr>ChargerUtilizationRates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Giesie, Mallory</dc:creator>
  <cp:keywords/>
  <dc:description/>
  <cp:lastModifiedBy>Giesie, Mallory</cp:lastModifiedBy>
  <cp:revision/>
  <dcterms:created xsi:type="dcterms:W3CDTF">2024-05-31T04:49:48Z</dcterms:created>
  <dcterms:modified xsi:type="dcterms:W3CDTF">2024-10-25T19:44:22Z</dcterms:modified>
  <cp:category/>
  <cp:contentStatus/>
</cp:coreProperties>
</file>