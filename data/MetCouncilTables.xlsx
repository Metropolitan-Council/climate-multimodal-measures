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54" documentId="8_{BBC49CD7-68E0-4D8F-B576-EE14E509F0DE}" xr6:coauthVersionLast="47" xr6:coauthVersionMax="47" xr10:uidLastSave="{2CBA9F2C-CDF7-4BE3-BC3C-853E416206BA}"/>
  <bookViews>
    <workbookView xWindow="-120" yWindow="-120" windowWidth="29040" windowHeight="15720" firstSheet="4" activeTab="4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MobilityServiceVMTReduction" sheetId="6" r:id="rId6"/>
    <sheet name="OCTAMobilityHubVMT" sheetId="7" r:id="rId7"/>
    <sheet name="AccesstoTransitImpact" sheetId="8" r:id="rId8"/>
    <sheet name="AdjustmentFactorsAndTripLengths" sheetId="11" r:id="rId9"/>
    <sheet name="VMTByCommunityType" sheetId="44" r:id="rId10"/>
    <sheet name="TotalVMTReductionPotential" sheetId="12" r:id="rId11"/>
    <sheet name="ElasticityOfRidershipIncrease" sheetId="14" r:id="rId12"/>
    <sheet name="RecommendedBRTImpactAssumptions" sheetId="15" r:id="rId13"/>
    <sheet name="TripAndVMTModeShiftPotential" sheetId="19" r:id="rId14"/>
    <sheet name="EnergyEfficiencyForEVs" sheetId="20" r:id="rId15"/>
    <sheet name="ModeShiftFactor" sheetId="22" r:id="rId16"/>
    <sheet name="CreditForKeyDestinations" sheetId="23" r:id="rId17"/>
    <sheet name="FuelConsumptionAtIdle" sheetId="28" r:id="rId18"/>
    <sheet name="ImpactOfCapacityExpansion " sheetId="32" r:id="rId19"/>
    <sheet name="TotalLifecycleGHGs" sheetId="39" r:id="rId20"/>
    <sheet name="SocialCostCarbon" sheetId="40" r:id="rId21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3" i="5"/>
</calcChain>
</file>

<file path=xl/sharedStrings.xml><?xml version="1.0" encoding="utf-8"?>
<sst xmlns="http://schemas.openxmlformats.org/spreadsheetml/2006/main" count="526" uniqueCount="236">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</sst>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</row>
    <row r="2" spans="1:8" x14ac:dyDescent="0.25">
      <c r="A2" t="s">
        <v>208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209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210</v>
      </c>
      <c r="H3">
        <v>30</v>
      </c>
    </row>
    <row r="4" spans="1:8" x14ac:dyDescent="0.25">
      <c r="A4" t="s">
        <v>211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212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210</v>
      </c>
      <c r="G5" t="s">
        <v>210</v>
      </c>
      <c r="H5">
        <v>1</v>
      </c>
    </row>
    <row r="6" spans="1:8" x14ac:dyDescent="0.25">
      <c r="A6" t="s">
        <v>213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214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215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216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217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218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219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7" sqref="A7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tabSelected="1" workbookViewId="0">
      <selection activeCell="C24" sqref="C24"/>
    </sheetView>
  </sheetViews>
  <sheetFormatPr defaultRowHeight="15" x14ac:dyDescent="0.25"/>
  <cols>
    <col min="2" max="2" width="21.28515625" customWidth="1"/>
    <col min="4" max="4" width="16" customWidth="1"/>
    <col min="5" max="5" width="22.85546875" customWidth="1"/>
    <col min="6" max="6" width="18.140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402.09099600393307</v>
      </c>
      <c r="D2">
        <v>385.76113972610608</v>
      </c>
      <c r="E2">
        <v>355.23</v>
      </c>
      <c r="F2">
        <v>173.70809543307007</v>
      </c>
      <c r="G2" s="5"/>
    </row>
    <row r="3" spans="1:7" x14ac:dyDescent="0.25">
      <c r="A3">
        <f>A2+1</f>
        <v>2025</v>
      </c>
      <c r="B3" t="s">
        <v>49</v>
      </c>
      <c r="C3">
        <v>400.88831152650806</v>
      </c>
      <c r="D3">
        <v>385.37574254838285</v>
      </c>
      <c r="E3">
        <v>355.23</v>
      </c>
      <c r="F3">
        <v>172.5670640664591</v>
      </c>
    </row>
    <row r="4" spans="1:7" x14ac:dyDescent="0.25">
      <c r="A4">
        <f t="shared" ref="A4:A28" si="0">A3+1</f>
        <v>2026</v>
      </c>
      <c r="B4" t="s">
        <v>49</v>
      </c>
      <c r="C4">
        <v>399.70343681390216</v>
      </c>
      <c r="D4">
        <v>384.99230020414615</v>
      </c>
      <c r="E4">
        <v>355.23</v>
      </c>
      <c r="F4">
        <v>143.40359847510479</v>
      </c>
    </row>
    <row r="5" spans="1:7" x14ac:dyDescent="0.25">
      <c r="A5">
        <f t="shared" si="0"/>
        <v>2027</v>
      </c>
      <c r="B5" t="s">
        <v>49</v>
      </c>
      <c r="C5">
        <v>398.51856210129625</v>
      </c>
      <c r="D5">
        <v>384.60885785990951</v>
      </c>
      <c r="E5">
        <v>355.23</v>
      </c>
      <c r="F5">
        <v>109.68526766913477</v>
      </c>
    </row>
    <row r="6" spans="1:7" x14ac:dyDescent="0.25">
      <c r="A6">
        <f t="shared" si="0"/>
        <v>2028</v>
      </c>
      <c r="B6" t="s">
        <v>49</v>
      </c>
      <c r="C6">
        <v>397.33368738869029</v>
      </c>
      <c r="D6">
        <v>384.22541551567281</v>
      </c>
      <c r="E6">
        <v>355.23</v>
      </c>
      <c r="F6">
        <v>98.672025864749031</v>
      </c>
    </row>
    <row r="7" spans="1:7" x14ac:dyDescent="0.25">
      <c r="A7">
        <f t="shared" si="0"/>
        <v>2029</v>
      </c>
      <c r="B7" t="s">
        <v>49</v>
      </c>
      <c r="C7">
        <v>396.14881267608439</v>
      </c>
      <c r="D7">
        <v>383.84197317143617</v>
      </c>
      <c r="E7">
        <v>355.23</v>
      </c>
      <c r="F7">
        <v>83.28948559445395</v>
      </c>
    </row>
    <row r="8" spans="1:7" x14ac:dyDescent="0.25">
      <c r="A8">
        <f t="shared" si="0"/>
        <v>2030</v>
      </c>
      <c r="B8" t="s">
        <v>49</v>
      </c>
      <c r="C8">
        <v>394.96393796347849</v>
      </c>
      <c r="D8">
        <v>383.45853082719947</v>
      </c>
      <c r="E8">
        <v>355.23</v>
      </c>
      <c r="F8">
        <v>65.175204834506985</v>
      </c>
    </row>
    <row r="9" spans="1:7" x14ac:dyDescent="0.25">
      <c r="A9">
        <f t="shared" si="0"/>
        <v>2031</v>
      </c>
      <c r="B9" t="s">
        <v>49</v>
      </c>
      <c r="C9">
        <v>393.79655604146535</v>
      </c>
      <c r="D9">
        <v>383.0769711912564</v>
      </c>
      <c r="E9">
        <v>355.23</v>
      </c>
      <c r="F9">
        <v>63.556588043782199</v>
      </c>
    </row>
    <row r="10" spans="1:7" x14ac:dyDescent="0.25">
      <c r="A10">
        <f t="shared" si="0"/>
        <v>2032</v>
      </c>
      <c r="B10" t="s">
        <v>49</v>
      </c>
      <c r="C10">
        <v>392.62917411945216</v>
      </c>
      <c r="D10">
        <v>382.69541155531329</v>
      </c>
      <c r="E10">
        <v>355.23</v>
      </c>
      <c r="F10">
        <v>57.283165903017398</v>
      </c>
    </row>
    <row r="11" spans="1:7" x14ac:dyDescent="0.25">
      <c r="A11">
        <f t="shared" si="0"/>
        <v>2033</v>
      </c>
      <c r="B11" t="s">
        <v>49</v>
      </c>
      <c r="C11">
        <v>391.46179219743902</v>
      </c>
      <c r="D11">
        <v>382.31385191937022</v>
      </c>
      <c r="E11">
        <v>355.23</v>
      </c>
      <c r="F11">
        <v>59.464086737943013</v>
      </c>
    </row>
    <row r="12" spans="1:7" x14ac:dyDescent="0.25">
      <c r="A12">
        <f t="shared" si="0"/>
        <v>2034</v>
      </c>
      <c r="B12" t="s">
        <v>49</v>
      </c>
      <c r="C12">
        <v>390.29441027542583</v>
      </c>
      <c r="D12">
        <v>381.9322922834271</v>
      </c>
      <c r="E12">
        <v>355.23</v>
      </c>
      <c r="F12">
        <v>56.106255258862653</v>
      </c>
    </row>
    <row r="13" spans="1:7" x14ac:dyDescent="0.25">
      <c r="A13">
        <f t="shared" si="0"/>
        <v>2035</v>
      </c>
      <c r="B13" t="s">
        <v>49</v>
      </c>
      <c r="C13">
        <v>389.1270283534127</v>
      </c>
      <c r="D13">
        <v>381.55073264748404</v>
      </c>
      <c r="E13">
        <v>355.23</v>
      </c>
      <c r="F13">
        <v>55.368130671056228</v>
      </c>
    </row>
    <row r="14" spans="1:7" x14ac:dyDescent="0.25">
      <c r="A14">
        <f t="shared" si="0"/>
        <v>2036</v>
      </c>
      <c r="B14" t="s">
        <v>49</v>
      </c>
      <c r="C14">
        <v>387.97688933406653</v>
      </c>
      <c r="D14">
        <v>381.17107970939765</v>
      </c>
      <c r="E14">
        <v>355.23</v>
      </c>
      <c r="F14">
        <v>60.206276013093678</v>
      </c>
    </row>
    <row r="15" spans="1:7" x14ac:dyDescent="0.25">
      <c r="A15">
        <f t="shared" si="0"/>
        <v>2037</v>
      </c>
      <c r="B15" t="s">
        <v>49</v>
      </c>
      <c r="C15">
        <v>386.82675031472036</v>
      </c>
      <c r="D15">
        <v>380.79142677131125</v>
      </c>
      <c r="E15">
        <v>355.23</v>
      </c>
      <c r="F15">
        <v>62.315427293139635</v>
      </c>
    </row>
    <row r="16" spans="1:7" x14ac:dyDescent="0.25">
      <c r="A16">
        <f t="shared" si="0"/>
        <v>2038</v>
      </c>
      <c r="B16" t="s">
        <v>49</v>
      </c>
      <c r="C16">
        <v>385.67661129537419</v>
      </c>
      <c r="D16">
        <v>380.41177383322491</v>
      </c>
      <c r="E16">
        <v>355.23</v>
      </c>
      <c r="F16">
        <v>61.816106810884349</v>
      </c>
    </row>
    <row r="17" spans="1:6" x14ac:dyDescent="0.25">
      <c r="A17">
        <f t="shared" si="0"/>
        <v>2039</v>
      </c>
      <c r="B17" t="s">
        <v>49</v>
      </c>
      <c r="C17">
        <v>384.52647227602802</v>
      </c>
      <c r="D17">
        <v>380.03212089513852</v>
      </c>
      <c r="E17">
        <v>355.23</v>
      </c>
      <c r="F17">
        <v>58.823800232148258</v>
      </c>
    </row>
    <row r="18" spans="1:6" x14ac:dyDescent="0.25">
      <c r="A18">
        <f t="shared" si="0"/>
        <v>2040</v>
      </c>
      <c r="B18" t="s">
        <v>49</v>
      </c>
      <c r="C18">
        <v>383.37633325668185</v>
      </c>
      <c r="D18">
        <v>379.65246795705212</v>
      </c>
      <c r="E18">
        <v>355.23</v>
      </c>
      <c r="F18">
        <v>57.405552535408525</v>
      </c>
    </row>
    <row r="19" spans="1:6" x14ac:dyDescent="0.25">
      <c r="A19">
        <f t="shared" si="0"/>
        <v>2041</v>
      </c>
      <c r="B19" t="s">
        <v>49</v>
      </c>
      <c r="C19">
        <v>382.24321962407782</v>
      </c>
      <c r="D19">
        <v>379.27469817064213</v>
      </c>
      <c r="E19">
        <v>355.23</v>
      </c>
      <c r="F19">
        <v>58.615113654800858</v>
      </c>
    </row>
    <row r="20" spans="1:6" x14ac:dyDescent="0.25">
      <c r="A20">
        <f t="shared" si="0"/>
        <v>2042</v>
      </c>
      <c r="B20" t="s">
        <v>49</v>
      </c>
      <c r="C20">
        <v>381.1101059914738</v>
      </c>
      <c r="D20">
        <v>378.89692838423213</v>
      </c>
      <c r="E20">
        <v>355.23</v>
      </c>
      <c r="F20">
        <v>58.955981538192411</v>
      </c>
    </row>
    <row r="21" spans="1:6" x14ac:dyDescent="0.25">
      <c r="A21">
        <f t="shared" si="0"/>
        <v>2043</v>
      </c>
      <c r="B21" t="s">
        <v>49</v>
      </c>
      <c r="C21">
        <v>379.97699235886984</v>
      </c>
      <c r="D21">
        <v>378.51915859782207</v>
      </c>
      <c r="E21">
        <v>355.23</v>
      </c>
      <c r="F21">
        <v>57.9465204069718</v>
      </c>
    </row>
    <row r="22" spans="1:6" x14ac:dyDescent="0.25">
      <c r="A22">
        <f t="shared" si="0"/>
        <v>2044</v>
      </c>
      <c r="B22" t="s">
        <v>49</v>
      </c>
      <c r="C22">
        <v>378.84387872626581</v>
      </c>
      <c r="D22">
        <v>378.14138881141207</v>
      </c>
      <c r="E22">
        <v>355.23</v>
      </c>
      <c r="F22">
        <v>57.942674547100168</v>
      </c>
    </row>
    <row r="23" spans="1:6" x14ac:dyDescent="0.25">
      <c r="A23">
        <f t="shared" si="0"/>
        <v>2045</v>
      </c>
      <c r="B23" t="s">
        <v>49</v>
      </c>
      <c r="C23">
        <v>377.71076509366179</v>
      </c>
      <c r="D23">
        <v>377.76361902500207</v>
      </c>
      <c r="E23">
        <v>355.23</v>
      </c>
      <c r="F23">
        <v>53.046325294380466</v>
      </c>
    </row>
    <row r="24" spans="1:6" x14ac:dyDescent="0.25">
      <c r="A24">
        <f t="shared" si="0"/>
        <v>2046</v>
      </c>
      <c r="B24" t="s">
        <v>49</v>
      </c>
      <c r="C24">
        <v>376.59436175390186</v>
      </c>
      <c r="D24">
        <v>377.38775534709782</v>
      </c>
      <c r="E24">
        <v>355.23</v>
      </c>
      <c r="F24">
        <v>50.490808291211252</v>
      </c>
    </row>
    <row r="25" spans="1:6" x14ac:dyDescent="0.25">
      <c r="A25">
        <f t="shared" si="0"/>
        <v>2047</v>
      </c>
      <c r="B25" t="s">
        <v>49</v>
      </c>
      <c r="C25">
        <v>375.47795841414199</v>
      </c>
      <c r="D25">
        <v>377.01189166919357</v>
      </c>
      <c r="E25">
        <v>355.23</v>
      </c>
      <c r="F25">
        <v>50.763741298362916</v>
      </c>
    </row>
    <row r="26" spans="1:6" x14ac:dyDescent="0.25">
      <c r="A26">
        <f t="shared" si="0"/>
        <v>2048</v>
      </c>
      <c r="B26" t="s">
        <v>49</v>
      </c>
      <c r="C26">
        <v>374.36155507438207</v>
      </c>
      <c r="D26">
        <v>376.63602799128932</v>
      </c>
      <c r="E26">
        <v>355.23</v>
      </c>
      <c r="F26">
        <v>49.77822456167857</v>
      </c>
    </row>
    <row r="27" spans="1:6" x14ac:dyDescent="0.25">
      <c r="A27">
        <f t="shared" si="0"/>
        <v>2049</v>
      </c>
      <c r="B27" t="s">
        <v>49</v>
      </c>
      <c r="C27">
        <v>373.2451517346222</v>
      </c>
      <c r="D27">
        <v>376.26016431338508</v>
      </c>
      <c r="E27">
        <v>355.23</v>
      </c>
      <c r="F27">
        <v>48.587107382791636</v>
      </c>
    </row>
    <row r="28" spans="1:6" x14ac:dyDescent="0.25">
      <c r="A28">
        <f t="shared" si="0"/>
        <v>2050</v>
      </c>
      <c r="B28" t="s">
        <v>49</v>
      </c>
      <c r="C28">
        <v>372.12874839486227</v>
      </c>
      <c r="D28">
        <v>375.88430063548083</v>
      </c>
      <c r="E28">
        <v>355.23</v>
      </c>
      <c r="F28">
        <v>44.289379747526183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A7" sqref="A7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topLeftCell="A4"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223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207</v>
      </c>
      <c r="I1" t="s">
        <v>230</v>
      </c>
      <c r="J1" t="s">
        <v>231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232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232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233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234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233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234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235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235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232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232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233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233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235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235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>
      <selection sqref="A1:D10"/>
    </sheetView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TripDistances</vt:lpstr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2024-10-07T20:42:52Z</dcterms:modified>
</cp:coreProperties>
</file>