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329" documentId="8_{BBC49CD7-68E0-4D8F-B576-EE14E509F0DE}" xr6:coauthVersionLast="47" xr6:coauthVersionMax="47" xr10:uidLastSave="{0E74EFA5-B5A1-4D8B-AEF3-B7F326980810}"/>
  <bookViews>
    <workbookView xWindow="-28920" yWindow="-3450" windowWidth="29040" windowHeight="15720" activeTab="2" xr2:uid="{00000000-000D-0000-FFFF-FFFF00000000}"/>
  </bookViews>
  <sheets>
    <sheet name="TripDistances" sheetId="42" r:id="rId1"/>
    <sheet name="ProjectTypes" sheetId="1" r:id="rId2"/>
    <sheet name="DefaultLifetime" sheetId="2" r:id="rId3"/>
    <sheet name="TransitDependencyAdjustments" sheetId="4" r:id="rId4"/>
    <sheet name="GREETCarbonIntensity" sheetId="5" r:id="rId5"/>
    <sheet name="FuelEfficiency" sheetId="45" r:id="rId6"/>
    <sheet name="MobilityServiceVMTReduction" sheetId="6" r:id="rId7"/>
    <sheet name="OCTAMobilityHubVMT" sheetId="7" r:id="rId8"/>
    <sheet name="AccesstoTransitImpact" sheetId="8" r:id="rId9"/>
    <sheet name="AdjustmentFactorsAndTripLengths" sheetId="11" r:id="rId10"/>
    <sheet name="VMTByCommunityType" sheetId="44" r:id="rId11"/>
    <sheet name="TotalVMTReductionPotential" sheetId="12" r:id="rId12"/>
    <sheet name="ChargerUtilizationRates" sheetId="46" r:id="rId13"/>
    <sheet name="ElasticityOfRidershipIncrease" sheetId="14" r:id="rId14"/>
    <sheet name="RecommendedBRTImpactAssumptions" sheetId="15" r:id="rId15"/>
    <sheet name="TripAndVMTModeShiftPotential" sheetId="19" r:id="rId16"/>
    <sheet name="EnergyEfficiencyForEVs" sheetId="20" r:id="rId17"/>
    <sheet name="ModeShiftFactor" sheetId="22" r:id="rId18"/>
    <sheet name="CreditForKeyDestinations" sheetId="23" r:id="rId19"/>
    <sheet name="FuelConsumptionAtIdle" sheetId="28" r:id="rId20"/>
    <sheet name="ImpactOfCapacityExpansion " sheetId="32" r:id="rId21"/>
    <sheet name="TotalLifecycleGHGs" sheetId="39" r:id="rId22"/>
    <sheet name="SocialCostCarbon" sheetId="40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5" l="1"/>
  <c r="C4" i="45"/>
  <c r="C2" i="45"/>
  <c r="H31" i="5"/>
  <c r="I31" i="5"/>
  <c r="H32" i="5"/>
  <c r="I32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F31" i="5"/>
  <c r="F30" i="5"/>
  <c r="F24" i="5"/>
  <c r="F23" i="5"/>
  <c r="F21" i="5"/>
  <c r="F20" i="5"/>
  <c r="F19" i="5"/>
  <c r="F18" i="5"/>
  <c r="F16" i="5"/>
  <c r="F15" i="5"/>
  <c r="F14" i="5"/>
  <c r="F13" i="5"/>
  <c r="F6" i="5"/>
  <c r="F5" i="5"/>
  <c r="F4" i="5"/>
  <c r="F3" i="5"/>
  <c r="F29" i="5"/>
  <c r="F28" i="5"/>
  <c r="F26" i="5"/>
  <c r="F25" i="5"/>
  <c r="F11" i="5"/>
  <c r="F10" i="5"/>
  <c r="F9" i="5"/>
  <c r="F8" i="5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7" i="5"/>
</calcChain>
</file>

<file path=xl/sharedStrings.xml><?xml version="1.0" encoding="utf-8"?>
<sst xmlns="http://schemas.openxmlformats.org/spreadsheetml/2006/main" count="542" uniqueCount="248">
  <si>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</si>
  <si>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</si>
  <si>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</si>
  <si>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</si>
  <si>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</si>
  <si>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</si>
  <si>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</si>
  <si>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</si>
  <si>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</si>
  <si>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</si>
  <si>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</si>
  <si>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</si>
  <si>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</si>
  <si>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</si>
  <si>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</si>
  <si>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</si>
  <si>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</si>
  <si>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</si>
  <si>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</si>
  <si>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</si>
  <si>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</si>
  <si>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</si>
  <si>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</si>
  <si>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</si>
  <si>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</si>
  <si>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</si>
  <si>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</si>
  <si>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</si>
  <si>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</si>
  <si>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</si>
  <si>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</si>
  <si>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</si>
  <si>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</si>
  <si>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</si>
  <si>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</si>
  <si>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</si>
  <si>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</si>
  <si>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</si>
  <si>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</si>
  <si>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</si>
  <si>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</si>
  <si>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</si>
  <si>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</si>
  <si>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</si>
  <si>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</si>
  <si>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</si>
  <si>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</si>
  <si>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</si>
  <si>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</si>
  <si>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</si>
  <si>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</si>
  <si>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</si>
  <si>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</si>
  <si>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</si>
  <si>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</si>
  <si>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</si>
  <si>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</si>
  <si>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</si>
  <si>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</si>
  <si>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</si>
  <si>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</si>
  <si>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</si>
  <si>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Diesel Commuter Rail</t>
  </si>
  <si>
    <t>Electric Commuter Rail</t>
  </si>
  <si>
    <t>Core Local</t>
  </si>
  <si>
    <t>Light Rail Transit</t>
  </si>
  <si>
    <t>Suburban Local</t>
  </si>
  <si>
    <t>Support</t>
  </si>
  <si>
    <t>Year</t>
  </si>
  <si>
    <t>fuel</t>
  </si>
  <si>
    <t>gasoline</t>
  </si>
  <si>
    <t>diesel</t>
  </si>
  <si>
    <t>compressed_natural_gas</t>
  </si>
  <si>
    <t>electricity</t>
  </si>
  <si>
    <t>diesel_commuter_rail</t>
  </si>
  <si>
    <t>electric_commuter_rail</t>
  </si>
  <si>
    <t>light_rail</t>
  </si>
  <si>
    <t>WTW CI (gCO₂e/mi)</t>
  </si>
  <si>
    <t>Vehicle Type</t>
  </si>
  <si>
    <t>Average of Fuel Economy Combined (kWh/100 mi)</t>
  </si>
  <si>
    <t>Fuel Efficiency (Wh/mi)</t>
  </si>
  <si>
    <t>Light-Duty</t>
  </si>
  <si>
    <t>Medium-Duty</t>
  </si>
  <si>
    <t>Heavy-Duty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</si>
  <si>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</si>
  <si>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</si>
  <si>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</si>
  <si>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</si>
  <si>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</si>
  <si>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</si>
  <si>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</si>
  <si>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</si>
  <si>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</si>
  <si>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</si>
  <si>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</si>
  <si>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</si>
  <si>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</si>
  <si>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</si>
  <si>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</si>
  <si>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</si>
  <si>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</si>
  <si>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</si>
  <si>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</si>
  <si>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distance_to_transit_variable</t>
  </si>
  <si>
    <t>vmt_reduction_for_reduction_in_distance_to_transit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</si>
  <si>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</si>
  <si>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</si>
  <si>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</si>
  <si>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</si>
  <si>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</si>
  <si>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</si>
  <si>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</si>
  <si>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</si>
  <si>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</si>
  <si>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</si>
  <si>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</si>
  <si>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</si>
  <si>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</si>
  <si>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</si>
  <si>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</si>
  <si>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</si>
  <si>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</si>
  <si>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</si>
  <si>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</si>
  <si>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</si>
  <si>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</si>
  <si>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</si>
  <si>
    <t>mobility_mode</t>
  </si>
  <si>
    <t>total_vmt_reduction_potential</t>
  </si>
  <si>
    <t>elasticity</t>
  </si>
  <si>
    <t>bus</t>
  </si>
  <si>
    <t>commuter_rail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</si>
  <si>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</si>
  <si>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</si>
  <si>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</si>
  <si>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</si>
  <si>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</si>
  <si>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</si>
  <si>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</si>
  <si>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</si>
  <si>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</si>
  <si>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</si>
  <si>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</si>
  <si>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</si>
  <si>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</si>
  <si>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</si>
  <si>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</si>
  <si>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</si>
  <si>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</si>
  <si>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</si>
  <si>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</si>
  <si>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</si>
  <si>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</si>
  <si>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</si>
  <si>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equipment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</si>
  <si>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</si>
  <si>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</si>
  <si>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</si>
  <si>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</si>
  <si>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</si>
  <si>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</si>
  <si>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</si>
  <si>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</si>
  <si>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one_way_facility_length_miles_low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</si>
  <si>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</si>
  <si>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</si>
  <si>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</si>
  <si>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</si>
  <si>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</si>
  <si>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</si>
  <si>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</si>
  <si>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</si>
  <si>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</si>
  <si>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</si>
  <si>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</si>
  <si>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</si>
  <si>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</si>
  <si>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idling_fuel_use_gal_hr_no_load</t>
  </si>
  <si>
    <t>idling_fuel_use_gal_hr_with_load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</si>
  <si>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</si>
  <si>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</si>
  <si>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</si>
  <si>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</si>
  <si>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</si>
  <si>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</si>
  <si>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</si>
  <si>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</si>
  <si>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</si>
  <si>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</si>
  <si>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</si>
  <si>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</si>
  <si>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</si>
  <si>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</si>
  <si>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</si>
  <si>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</si>
  <si>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</si>
  <si>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</si>
  <si>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</si>
  <si>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</si>
  <si>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</si>
  <si>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</si>
  <si>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</si>
  <si>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</si>
  <si>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</si>
  <si>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</si>
  <si>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</si>
  <si>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</si>
  <si>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</si>
  <si>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</si>
  <si>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short-term</t>
  </si>
  <si>
    <t>Cervero and Hansen (2002)</t>
  </si>
  <si>
    <t>California</t>
  </si>
  <si>
    <t>1976-1997</t>
  </si>
  <si>
    <t>intermediate term</t>
  </si>
  <si>
    <t>Noland (2001)</t>
  </si>
  <si>
    <t>U.S.(States – all roadway types)</t>
  </si>
  <si>
    <t>1984-1996</t>
  </si>
  <si>
    <t>0.30 to 0.60</t>
  </si>
  <si>
    <t>0.70 to 1.00</t>
  </si>
  <si>
    <t>Nolandand Cowart (2000)</t>
  </si>
  <si>
    <t>U.S.(Metro Areas – Freeways and arterials)</t>
  </si>
  <si>
    <t>1982-1996</t>
  </si>
  <si>
    <t>Hansen and Huang (1997)</t>
  </si>
  <si>
    <t>1973-1990</t>
  </si>
  <si>
    <t>0.60 to 0.90</t>
  </si>
  <si>
    <t>ghgs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</si>
  <si>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</si>
  <si>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</si>
  <si>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</si>
  <si>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</si>
  <si>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</si>
  <si>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</si>
  <si>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</si>
  <si>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</si>
  <si>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</si>
  <si>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</si>
  <si>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</si>
  <si>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</si>
  <si>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</si>
  <si>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</si>
  <si>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</si>
  <si>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</si>
  <si>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</si>
  <si>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</si>
  <si>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Commuter Rail Diesel</t>
  </si>
  <si>
    <t>Commuter Rail Electric</t>
  </si>
  <si>
    <t>DC_fast</t>
  </si>
  <si>
    <t>level_2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</si>
</sst>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10</v>
      </c>
      <c r="H3">
        <v>30</v>
      </c>
    </row>
    <row r="4" spans="1:8" x14ac:dyDescent="0.25">
      <c r="A4" t="s">
        <v>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10</v>
      </c>
      <c r="G5" t="s">
        <v>10</v>
      </c>
      <c r="H5">
        <v>1</v>
      </c>
    </row>
    <row r="6" spans="1:8" x14ac:dyDescent="0.25">
      <c r="A6" t="s">
        <v>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23</v>
      </c>
      <c r="B1" s="1" t="s">
        <v>24</v>
      </c>
    </row>
    <row r="2" spans="1:2" x14ac:dyDescent="0.25">
      <c r="A2" t="s">
        <v>25</v>
      </c>
      <c r="B2" t="s">
        <v>26</v>
      </c>
    </row>
    <row r="3" spans="1:2" x14ac:dyDescent="0.25">
      <c r="A3" t="s">
        <v>25</v>
      </c>
      <c r="B3" t="s">
        <v>27</v>
      </c>
    </row>
    <row r="4" spans="1:2" x14ac:dyDescent="0.25">
      <c r="A4" t="s">
        <v>28</v>
      </c>
      <c r="B4" t="s">
        <v>29</v>
      </c>
    </row>
    <row r="5" spans="1:2" x14ac:dyDescent="0.25">
      <c r="A5" t="s">
        <v>28</v>
      </c>
      <c r="B5" t="s">
        <v>30</v>
      </c>
    </row>
    <row r="6" spans="1:2" x14ac:dyDescent="0.25">
      <c r="A6" t="s">
        <v>31</v>
      </c>
      <c r="B6" t="s">
        <v>32</v>
      </c>
    </row>
    <row r="7" spans="1:2" x14ac:dyDescent="0.25">
      <c r="A7" t="s">
        <v>31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34</v>
      </c>
      <c r="B9" t="s">
        <v>36</v>
      </c>
    </row>
    <row r="10" spans="1:2" x14ac:dyDescent="0.25">
      <c r="A10" t="s">
        <v>37</v>
      </c>
      <c r="B10" t="s">
        <v>38</v>
      </c>
    </row>
    <row r="11" spans="1:2" x14ac:dyDescent="0.25">
      <c r="A11" t="s">
        <v>37</v>
      </c>
      <c r="B1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tabSelected="1" workbookViewId="0">
      <selection activeCell="A8" sqref="A8"/>
    </sheetView>
  </sheetViews>
  <sheetFormatPr defaultRowHeight="15" x14ac:dyDescent="0.25"/>
  <cols>
    <col min="1" max="1" width="52.42578125" customWidth="1"/>
    <col min="2" max="2" width="52.85546875" customWidth="1"/>
  </cols>
  <sheetData>
    <row r="1" spans="1:3" s="1" customFormat="1" x14ac:dyDescent="0.25">
      <c r="A1" s="1" t="s">
        <v>40</v>
      </c>
      <c r="B1" s="1" t="s">
        <v>41</v>
      </c>
      <c r="C1" s="1" t="s">
        <v>42</v>
      </c>
    </row>
    <row r="2" spans="1:3" x14ac:dyDescent="0.25">
      <c r="A2" t="s">
        <v>43</v>
      </c>
      <c r="B2">
        <v>4</v>
      </c>
      <c r="C2" t="s">
        <v>44</v>
      </c>
    </row>
    <row r="3" spans="1:3" x14ac:dyDescent="0.25">
      <c r="A3" t="s">
        <v>45</v>
      </c>
      <c r="B3">
        <v>5</v>
      </c>
      <c r="C3" t="s">
        <v>46</v>
      </c>
    </row>
    <row r="4" spans="1:3" x14ac:dyDescent="0.25">
      <c r="A4" t="s">
        <v>47</v>
      </c>
      <c r="B4">
        <v>7</v>
      </c>
      <c r="C4" t="s">
        <v>48</v>
      </c>
    </row>
    <row r="5" spans="1:3" x14ac:dyDescent="0.25">
      <c r="A5" t="s">
        <v>49</v>
      </c>
      <c r="B5">
        <v>8</v>
      </c>
      <c r="C5" t="s">
        <v>50</v>
      </c>
    </row>
    <row r="6" spans="1:3" x14ac:dyDescent="0.25">
      <c r="A6" t="s">
        <v>51</v>
      </c>
      <c r="B6">
        <v>10</v>
      </c>
      <c r="C6" t="s">
        <v>52</v>
      </c>
    </row>
    <row r="7" spans="1:3" x14ac:dyDescent="0.25">
      <c r="A7" t="s">
        <v>53</v>
      </c>
      <c r="B7">
        <v>14</v>
      </c>
      <c r="C7" t="s">
        <v>54</v>
      </c>
    </row>
    <row r="8" spans="1:3" x14ac:dyDescent="0.25">
      <c r="A8" t="s">
        <v>55</v>
      </c>
      <c r="B8">
        <v>20</v>
      </c>
      <c r="C8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selection activeCell="E14" sqref="E14"/>
    </sheetView>
  </sheetViews>
  <sheetFormatPr defaultRowHeight="15" x14ac:dyDescent="0.25"/>
  <cols>
    <col min="1" max="1" width="42.5703125" customWidth="1"/>
    <col min="2" max="2" width="29" customWidth="1"/>
    <col min="3" max="3" width="28.710937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62</v>
      </c>
      <c r="B4">
        <v>38.799999999999997</v>
      </c>
      <c r="C4">
        <v>0.86699999999999999</v>
      </c>
    </row>
    <row r="5" spans="1:3" x14ac:dyDescent="0.25">
      <c r="A5" t="s">
        <v>63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zoomScale="115" zoomScaleNormal="115" workbookViewId="0">
      <selection activeCell="G17" sqref="G17"/>
    </sheetView>
  </sheetViews>
  <sheetFormatPr defaultRowHeight="15" x14ac:dyDescent="0.25"/>
  <cols>
    <col min="2" max="2" width="21.28515625" customWidth="1"/>
    <col min="3" max="3" width="18.140625" customWidth="1"/>
    <col min="4" max="4" width="21.42578125" customWidth="1"/>
    <col min="5" max="5" width="18" customWidth="1"/>
    <col min="6" max="6" width="18.140625" customWidth="1"/>
    <col min="7" max="7" width="22.7109375" customWidth="1"/>
    <col min="8" max="8" width="21.42578125" bestFit="1" customWidth="1"/>
    <col min="9" max="9" width="13.7109375" customWidth="1"/>
  </cols>
  <sheetData>
    <row r="1" spans="1:9" s="1" customFormat="1" x14ac:dyDescent="0.2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1" t="s">
        <v>74</v>
      </c>
      <c r="H1" s="7" t="s">
        <v>75</v>
      </c>
      <c r="I1" s="7" t="s">
        <v>76</v>
      </c>
    </row>
    <row r="2" spans="1:9" x14ac:dyDescent="0.25">
      <c r="A2">
        <v>2020</v>
      </c>
      <c r="B2" t="s">
        <v>77</v>
      </c>
      <c r="C2">
        <v>413.01</v>
      </c>
      <c r="D2">
        <v>424.91</v>
      </c>
      <c r="E2">
        <v>355.23</v>
      </c>
      <c r="F2">
        <v>127.46</v>
      </c>
      <c r="G2" s="5">
        <v>33916.299999999996</v>
      </c>
      <c r="H2">
        <f xml:space="preserve"> 0.00395 * 10^6</f>
        <v>3950.0000000000005</v>
      </c>
      <c r="I2">
        <f xml:space="preserve"> 0.00358 * 10^6</f>
        <v>3580</v>
      </c>
    </row>
    <row r="3" spans="1:9" x14ac:dyDescent="0.25">
      <c r="A3">
        <v>2021</v>
      </c>
      <c r="B3" t="s">
        <v>77</v>
      </c>
      <c r="C3">
        <v>412.27199999999999</v>
      </c>
      <c r="D3">
        <v>425.43800000000005</v>
      </c>
      <c r="E3">
        <v>355.23</v>
      </c>
      <c r="F3">
        <f>F2 + ((F7 - F2) / (C7 - C2)) * (C3 - C2)</f>
        <v>124.746</v>
      </c>
      <c r="G3">
        <v>33916.299999999996</v>
      </c>
      <c r="H3">
        <f t="shared" ref="H3:H32" si="0" xml:space="preserve"> 0.00395 * 10^6</f>
        <v>3950.0000000000005</v>
      </c>
      <c r="I3">
        <f t="shared" ref="I3:I32" si="1" xml:space="preserve"> 0.00358 * 10^6</f>
        <v>3580</v>
      </c>
    </row>
    <row r="4" spans="1:9" x14ac:dyDescent="0.25">
      <c r="A4">
        <v>2022</v>
      </c>
      <c r="B4" t="s">
        <v>77</v>
      </c>
      <c r="C4">
        <v>411.53399999999999</v>
      </c>
      <c r="D4">
        <v>425.96600000000001</v>
      </c>
      <c r="E4">
        <v>355.23</v>
      </c>
      <c r="F4">
        <f>F2 + ((F7 - F2) / (C7 - C2)) * (C4 - C2)</f>
        <v>122.032</v>
      </c>
      <c r="G4">
        <v>33916.299999999996</v>
      </c>
      <c r="H4">
        <f t="shared" si="0"/>
        <v>3950.0000000000005</v>
      </c>
      <c r="I4">
        <f t="shared" si="1"/>
        <v>3580</v>
      </c>
    </row>
    <row r="5" spans="1:9" x14ac:dyDescent="0.25">
      <c r="A5">
        <v>2023</v>
      </c>
      <c r="B5" t="s">
        <v>77</v>
      </c>
      <c r="C5">
        <v>410.79599999999999</v>
      </c>
      <c r="D5">
        <v>426.49400000000003</v>
      </c>
      <c r="E5">
        <v>355.23</v>
      </c>
      <c r="F5">
        <f>F2 + ((F7 - F2) / (C7 - C2)) * (C5 - C2)</f>
        <v>119.318</v>
      </c>
      <c r="G5">
        <v>33916.299999999996</v>
      </c>
      <c r="H5">
        <f t="shared" si="0"/>
        <v>3950.0000000000005</v>
      </c>
      <c r="I5">
        <f t="shared" si="1"/>
        <v>3580</v>
      </c>
    </row>
    <row r="6" spans="1:9" x14ac:dyDescent="0.25">
      <c r="A6">
        <v>2024</v>
      </c>
      <c r="B6" t="s">
        <v>77</v>
      </c>
      <c r="C6">
        <v>410.05799999999999</v>
      </c>
      <c r="D6">
        <v>427.02199999999999</v>
      </c>
      <c r="E6">
        <v>355.23</v>
      </c>
      <c r="F6">
        <f>F2 + ((F7 - F2) / (C7 - C2)) * (C6 - C2)</f>
        <v>116.604</v>
      </c>
      <c r="G6">
        <v>33916.299999999996</v>
      </c>
      <c r="H6">
        <f t="shared" si="0"/>
        <v>3950.0000000000005</v>
      </c>
      <c r="I6">
        <f t="shared" si="1"/>
        <v>3580</v>
      </c>
    </row>
    <row r="7" spans="1:9" x14ac:dyDescent="0.25">
      <c r="A7">
        <f>A6+1</f>
        <v>2025</v>
      </c>
      <c r="B7" t="s">
        <v>77</v>
      </c>
      <c r="C7">
        <v>409.32</v>
      </c>
      <c r="D7">
        <v>427.55</v>
      </c>
      <c r="E7">
        <v>355.23</v>
      </c>
      <c r="F7">
        <v>113.89</v>
      </c>
      <c r="G7">
        <v>33916.299999999996</v>
      </c>
      <c r="H7">
        <f t="shared" si="0"/>
        <v>3950.0000000000005</v>
      </c>
      <c r="I7">
        <f t="shared" si="1"/>
        <v>3580</v>
      </c>
    </row>
    <row r="8" spans="1:9" x14ac:dyDescent="0.25">
      <c r="A8">
        <f t="shared" ref="A8:A32" si="2">A7+1</f>
        <v>2026</v>
      </c>
      <c r="B8" t="s">
        <v>77</v>
      </c>
      <c r="C8">
        <v>408.83600000000001</v>
      </c>
      <c r="D8">
        <v>427.86799999999999</v>
      </c>
      <c r="E8">
        <v>355.23</v>
      </c>
      <c r="F8">
        <f>F7 + ((F12 - F7) / (C12 - C7)) * (C8 - C7)</f>
        <v>112.08200000000008</v>
      </c>
      <c r="G8">
        <v>33916.299999999996</v>
      </c>
      <c r="H8">
        <f t="shared" si="0"/>
        <v>3950.0000000000005</v>
      </c>
      <c r="I8">
        <f t="shared" si="1"/>
        <v>3580</v>
      </c>
    </row>
    <row r="9" spans="1:9" x14ac:dyDescent="0.25">
      <c r="A9">
        <f t="shared" si="2"/>
        <v>2027</v>
      </c>
      <c r="B9" t="s">
        <v>77</v>
      </c>
      <c r="C9">
        <v>408.35199999999998</v>
      </c>
      <c r="D9">
        <v>428.18599999999998</v>
      </c>
      <c r="E9">
        <v>355.23</v>
      </c>
      <c r="F9">
        <f>F7 + ((F12 - F7) / (C12 - C7)) * (C9 - C7)</f>
        <v>110.27399999999996</v>
      </c>
      <c r="G9">
        <v>33916.299999999996</v>
      </c>
      <c r="H9">
        <f t="shared" si="0"/>
        <v>3950.0000000000005</v>
      </c>
      <c r="I9">
        <f t="shared" si="1"/>
        <v>3580</v>
      </c>
    </row>
    <row r="10" spans="1:9" x14ac:dyDescent="0.25">
      <c r="A10">
        <f t="shared" si="2"/>
        <v>2028</v>
      </c>
      <c r="B10" t="s">
        <v>77</v>
      </c>
      <c r="C10">
        <v>407.86799999999999</v>
      </c>
      <c r="D10">
        <v>428.50400000000002</v>
      </c>
      <c r="E10">
        <v>355.23</v>
      </c>
      <c r="F10">
        <f>F7 + ((F12 - F7) / (C12 - C7)) * (C10 - C7)</f>
        <v>108.46600000000004</v>
      </c>
      <c r="G10">
        <v>33916.299999999996</v>
      </c>
      <c r="H10">
        <f t="shared" si="0"/>
        <v>3950.0000000000005</v>
      </c>
      <c r="I10">
        <f t="shared" si="1"/>
        <v>3580</v>
      </c>
    </row>
    <row r="11" spans="1:9" x14ac:dyDescent="0.25">
      <c r="A11">
        <f t="shared" si="2"/>
        <v>2029</v>
      </c>
      <c r="B11" t="s">
        <v>77</v>
      </c>
      <c r="C11">
        <v>407.38399999999996</v>
      </c>
      <c r="D11">
        <v>428.822</v>
      </c>
      <c r="E11">
        <v>355.23</v>
      </c>
      <c r="F11">
        <f>F7 + ((F12 - F7) / (C12 - C7)) * (C11 - C7)</f>
        <v>106.65799999999992</v>
      </c>
      <c r="G11">
        <v>33916.299999999996</v>
      </c>
      <c r="H11">
        <f t="shared" si="0"/>
        <v>3950.0000000000005</v>
      </c>
      <c r="I11">
        <f t="shared" si="1"/>
        <v>3580</v>
      </c>
    </row>
    <row r="12" spans="1:9" x14ac:dyDescent="0.25">
      <c r="A12">
        <f t="shared" si="2"/>
        <v>2030</v>
      </c>
      <c r="B12" t="s">
        <v>77</v>
      </c>
      <c r="C12">
        <v>406.9</v>
      </c>
      <c r="D12">
        <v>429.14</v>
      </c>
      <c r="E12">
        <v>355.23</v>
      </c>
      <c r="F12">
        <v>104.85</v>
      </c>
      <c r="G12">
        <v>33916.299999999996</v>
      </c>
      <c r="H12">
        <f t="shared" si="0"/>
        <v>3950.0000000000005</v>
      </c>
      <c r="I12">
        <f t="shared" si="1"/>
        <v>3580</v>
      </c>
    </row>
    <row r="13" spans="1:9" x14ac:dyDescent="0.25">
      <c r="A13">
        <f t="shared" si="2"/>
        <v>2031</v>
      </c>
      <c r="B13" t="s">
        <v>77</v>
      </c>
      <c r="C13">
        <v>405.69799999999998</v>
      </c>
      <c r="D13">
        <v>429.19799999999998</v>
      </c>
      <c r="E13">
        <v>355.23</v>
      </c>
      <c r="F13">
        <f>F12 + ((F17 - F12) / (C17 - C12)) * (C13 - C12)</f>
        <v>98.449999999999989</v>
      </c>
      <c r="G13">
        <v>33916.299999999996</v>
      </c>
      <c r="H13">
        <f t="shared" si="0"/>
        <v>3950.0000000000005</v>
      </c>
      <c r="I13">
        <f t="shared" si="1"/>
        <v>3580</v>
      </c>
    </row>
    <row r="14" spans="1:9" x14ac:dyDescent="0.25">
      <c r="A14">
        <f t="shared" si="2"/>
        <v>2032</v>
      </c>
      <c r="B14" t="s">
        <v>77</v>
      </c>
      <c r="C14">
        <v>404.49599999999998</v>
      </c>
      <c r="D14">
        <v>429.25599999999997</v>
      </c>
      <c r="E14">
        <v>355.23</v>
      </c>
      <c r="F14">
        <f>F12 + ((F17 - F12) / (C17 - C12)) * (C14 - C12)</f>
        <v>92.05</v>
      </c>
      <c r="G14">
        <v>33916.299999999996</v>
      </c>
      <c r="H14">
        <f t="shared" si="0"/>
        <v>3950.0000000000005</v>
      </c>
      <c r="I14">
        <f t="shared" si="1"/>
        <v>3580</v>
      </c>
    </row>
    <row r="15" spans="1:9" x14ac:dyDescent="0.25">
      <c r="A15">
        <f t="shared" si="2"/>
        <v>2033</v>
      </c>
      <c r="B15" t="s">
        <v>77</v>
      </c>
      <c r="C15">
        <v>403.29399999999998</v>
      </c>
      <c r="D15">
        <v>429.31400000000002</v>
      </c>
      <c r="E15">
        <v>355.23</v>
      </c>
      <c r="F15">
        <f>F12 + ((F17 - F12) / (C17 - C12)) * (C15 - C12)</f>
        <v>85.649999999999991</v>
      </c>
      <c r="G15">
        <v>33916.299999999996</v>
      </c>
      <c r="H15">
        <f t="shared" si="0"/>
        <v>3950.0000000000005</v>
      </c>
      <c r="I15">
        <f t="shared" si="1"/>
        <v>3580</v>
      </c>
    </row>
    <row r="16" spans="1:9" x14ac:dyDescent="0.25">
      <c r="A16">
        <f t="shared" si="2"/>
        <v>2034</v>
      </c>
      <c r="B16" t="s">
        <v>77</v>
      </c>
      <c r="C16">
        <v>402.09199999999998</v>
      </c>
      <c r="D16">
        <v>429.37200000000001</v>
      </c>
      <c r="E16">
        <v>355.23</v>
      </c>
      <c r="F16">
        <f>F12 + ((F17 - F12) / (C17 - C12)) * (C16 - C12)</f>
        <v>79.25</v>
      </c>
      <c r="G16">
        <v>33916.299999999996</v>
      </c>
      <c r="H16">
        <f t="shared" si="0"/>
        <v>3950.0000000000005</v>
      </c>
      <c r="I16">
        <f t="shared" si="1"/>
        <v>3580</v>
      </c>
    </row>
    <row r="17" spans="1:9" x14ac:dyDescent="0.25">
      <c r="A17">
        <f t="shared" si="2"/>
        <v>2035</v>
      </c>
      <c r="B17" t="s">
        <v>77</v>
      </c>
      <c r="C17">
        <v>400.89</v>
      </c>
      <c r="D17">
        <v>429.43</v>
      </c>
      <c r="E17">
        <v>355.23</v>
      </c>
      <c r="F17">
        <v>72.849999999999994</v>
      </c>
      <c r="G17">
        <v>33916.299999999996</v>
      </c>
      <c r="H17">
        <f t="shared" si="0"/>
        <v>3950.0000000000005</v>
      </c>
      <c r="I17">
        <f t="shared" si="1"/>
        <v>3580</v>
      </c>
    </row>
    <row r="18" spans="1:9" x14ac:dyDescent="0.25">
      <c r="A18">
        <f t="shared" si="2"/>
        <v>2036</v>
      </c>
      <c r="B18" t="s">
        <v>77</v>
      </c>
      <c r="C18">
        <v>399.70400000000001</v>
      </c>
      <c r="D18">
        <v>429.42200000000003</v>
      </c>
      <c r="E18">
        <v>355.23</v>
      </c>
      <c r="F18">
        <f>F17 + ((F22 - F17) / (C22 - C17)) * (C18 - C17)</f>
        <v>70.484000000000037</v>
      </c>
      <c r="G18">
        <v>33916.299999999996</v>
      </c>
      <c r="H18">
        <f t="shared" si="0"/>
        <v>3950.0000000000005</v>
      </c>
      <c r="I18">
        <f t="shared" si="1"/>
        <v>3580</v>
      </c>
    </row>
    <row r="19" spans="1:9" x14ac:dyDescent="0.25">
      <c r="A19">
        <f t="shared" si="2"/>
        <v>2037</v>
      </c>
      <c r="B19" t="s">
        <v>77</v>
      </c>
      <c r="C19">
        <v>398.51799999999997</v>
      </c>
      <c r="D19">
        <v>429.41399999999999</v>
      </c>
      <c r="E19">
        <v>355.23</v>
      </c>
      <c r="F19">
        <f>F17 + ((F22 - F17) / (C22 - C17)) * (C19 - C17)</f>
        <v>68.117999999999981</v>
      </c>
      <c r="G19">
        <v>33916.299999999996</v>
      </c>
      <c r="H19">
        <f t="shared" si="0"/>
        <v>3950.0000000000005</v>
      </c>
      <c r="I19">
        <f t="shared" si="1"/>
        <v>3580</v>
      </c>
    </row>
    <row r="20" spans="1:9" x14ac:dyDescent="0.25">
      <c r="A20">
        <f t="shared" si="2"/>
        <v>2038</v>
      </c>
      <c r="B20" t="s">
        <v>77</v>
      </c>
      <c r="C20">
        <v>397.33199999999999</v>
      </c>
      <c r="D20">
        <v>429.40600000000001</v>
      </c>
      <c r="E20">
        <v>355.23</v>
      </c>
      <c r="F20">
        <f>F17 + ((F22 - F17) / (C22 - C17)) * (C20 - C17)</f>
        <v>65.752000000000024</v>
      </c>
      <c r="G20">
        <v>33916.299999999996</v>
      </c>
      <c r="H20">
        <f t="shared" si="0"/>
        <v>3950.0000000000005</v>
      </c>
      <c r="I20">
        <f t="shared" si="1"/>
        <v>3580</v>
      </c>
    </row>
    <row r="21" spans="1:9" x14ac:dyDescent="0.25">
      <c r="A21">
        <f t="shared" si="2"/>
        <v>2039</v>
      </c>
      <c r="B21" t="s">
        <v>77</v>
      </c>
      <c r="C21">
        <v>396.14599999999996</v>
      </c>
      <c r="D21">
        <v>429.39799999999997</v>
      </c>
      <c r="E21">
        <v>355.23</v>
      </c>
      <c r="F21">
        <f>F17 + ((F22 - F17) / (C22 - C17)) * (C21 - C17)</f>
        <v>63.385999999999953</v>
      </c>
      <c r="G21">
        <v>33916.299999999996</v>
      </c>
      <c r="H21">
        <f t="shared" si="0"/>
        <v>3950.0000000000005</v>
      </c>
      <c r="I21">
        <f t="shared" si="1"/>
        <v>3580</v>
      </c>
    </row>
    <row r="22" spans="1:9" x14ac:dyDescent="0.25">
      <c r="A22">
        <f t="shared" si="2"/>
        <v>2040</v>
      </c>
      <c r="B22" t="s">
        <v>77</v>
      </c>
      <c r="C22">
        <v>394.96</v>
      </c>
      <c r="D22">
        <v>429.39</v>
      </c>
      <c r="E22">
        <v>355.23</v>
      </c>
      <c r="F22">
        <v>61.02</v>
      </c>
      <c r="G22">
        <v>33916.299999999996</v>
      </c>
      <c r="H22">
        <f t="shared" si="0"/>
        <v>3950.0000000000005</v>
      </c>
      <c r="I22">
        <f t="shared" si="1"/>
        <v>3580</v>
      </c>
    </row>
    <row r="23" spans="1:9" x14ac:dyDescent="0.25">
      <c r="A23">
        <f t="shared" si="2"/>
        <v>2041</v>
      </c>
      <c r="B23" t="s">
        <v>77</v>
      </c>
      <c r="C23">
        <v>393.79399999999998</v>
      </c>
      <c r="D23">
        <v>429.262</v>
      </c>
      <c r="E23">
        <v>355.23</v>
      </c>
      <c r="F23">
        <f>F22 + ((F27 - F22) / (C27 - C22)) * (C23 - C22)</f>
        <v>62.38</v>
      </c>
      <c r="G23">
        <v>33916.299999999996</v>
      </c>
      <c r="H23">
        <f t="shared" si="0"/>
        <v>3950.0000000000005</v>
      </c>
      <c r="I23">
        <f t="shared" si="1"/>
        <v>3580</v>
      </c>
    </row>
    <row r="24" spans="1:9" x14ac:dyDescent="0.25">
      <c r="A24">
        <f t="shared" si="2"/>
        <v>2042</v>
      </c>
      <c r="B24" t="s">
        <v>77</v>
      </c>
      <c r="C24">
        <v>392.62799999999999</v>
      </c>
      <c r="D24">
        <v>429.13400000000001</v>
      </c>
      <c r="E24">
        <v>355.23</v>
      </c>
      <c r="F24">
        <f>F22 + ((F27 - F22) / (C27 - C22)) * (C24 - C22)</f>
        <v>63.74</v>
      </c>
      <c r="G24">
        <v>33916.299999999996</v>
      </c>
      <c r="H24">
        <f t="shared" si="0"/>
        <v>3950.0000000000005</v>
      </c>
      <c r="I24">
        <f t="shared" si="1"/>
        <v>3580</v>
      </c>
    </row>
    <row r="25" spans="1:9" x14ac:dyDescent="0.25">
      <c r="A25">
        <f t="shared" si="2"/>
        <v>2043</v>
      </c>
      <c r="B25" t="s">
        <v>77</v>
      </c>
      <c r="C25">
        <v>391.46199999999999</v>
      </c>
      <c r="D25">
        <v>429.00599999999997</v>
      </c>
      <c r="E25">
        <v>355.23</v>
      </c>
      <c r="F25">
        <f>F22 + ((F27 - F22) / (C27 - C22)) * (C25 - C22)</f>
        <v>65.099999999999994</v>
      </c>
      <c r="G25">
        <v>33916.299999999996</v>
      </c>
      <c r="H25">
        <f t="shared" si="0"/>
        <v>3950.0000000000005</v>
      </c>
      <c r="I25">
        <f t="shared" si="1"/>
        <v>3580</v>
      </c>
    </row>
    <row r="26" spans="1:9" x14ac:dyDescent="0.25">
      <c r="A26">
        <f t="shared" si="2"/>
        <v>2044</v>
      </c>
      <c r="B26" t="s">
        <v>77</v>
      </c>
      <c r="C26">
        <v>390.29599999999999</v>
      </c>
      <c r="D26">
        <v>428.87799999999999</v>
      </c>
      <c r="E26">
        <v>355.23</v>
      </c>
      <c r="F26">
        <f>F22 + ((F27 - F22) / (C27 - C22)) * (C26 - C22)</f>
        <v>66.459999999999994</v>
      </c>
      <c r="G26">
        <v>33916.299999999996</v>
      </c>
      <c r="H26">
        <f t="shared" si="0"/>
        <v>3950.0000000000005</v>
      </c>
      <c r="I26">
        <f t="shared" si="1"/>
        <v>3580</v>
      </c>
    </row>
    <row r="27" spans="1:9" x14ac:dyDescent="0.25">
      <c r="A27">
        <f t="shared" si="2"/>
        <v>2045</v>
      </c>
      <c r="B27" t="s">
        <v>77</v>
      </c>
      <c r="C27">
        <v>389.13</v>
      </c>
      <c r="D27">
        <v>428.75</v>
      </c>
      <c r="E27">
        <v>355.23</v>
      </c>
      <c r="F27">
        <v>67.819999999999993</v>
      </c>
      <c r="G27">
        <v>33916.299999999996</v>
      </c>
      <c r="H27">
        <f t="shared" si="0"/>
        <v>3950.0000000000005</v>
      </c>
      <c r="I27">
        <f t="shared" si="1"/>
        <v>3580</v>
      </c>
    </row>
    <row r="28" spans="1:9" x14ac:dyDescent="0.25">
      <c r="A28">
        <f t="shared" si="2"/>
        <v>2046</v>
      </c>
      <c r="B28" t="s">
        <v>77</v>
      </c>
      <c r="C28">
        <v>387.98</v>
      </c>
      <c r="D28">
        <v>428.54399999999998</v>
      </c>
      <c r="E28">
        <v>355.23</v>
      </c>
      <c r="F28">
        <f>F27 + ((F32 - F27) / (C32 - C27)) * (C28 - C27)</f>
        <v>64.120000000000061</v>
      </c>
      <c r="G28">
        <v>33916.299999999996</v>
      </c>
      <c r="H28">
        <f t="shared" si="0"/>
        <v>3950.0000000000005</v>
      </c>
      <c r="I28">
        <f t="shared" si="1"/>
        <v>3580</v>
      </c>
    </row>
    <row r="29" spans="1:9" x14ac:dyDescent="0.25">
      <c r="A29">
        <f t="shared" si="2"/>
        <v>2047</v>
      </c>
      <c r="B29" t="s">
        <v>77</v>
      </c>
      <c r="C29">
        <v>386.83</v>
      </c>
      <c r="D29">
        <v>428.33800000000002</v>
      </c>
      <c r="E29">
        <v>355.23</v>
      </c>
      <c r="F29">
        <f>F27 + ((F32 - F27) / (C32 - C27)) * (C29 - C27)</f>
        <v>60.419999999999959</v>
      </c>
      <c r="G29">
        <v>33916.299999999996</v>
      </c>
      <c r="H29">
        <f t="shared" si="0"/>
        <v>3950.0000000000005</v>
      </c>
      <c r="I29">
        <f t="shared" si="1"/>
        <v>3580</v>
      </c>
    </row>
    <row r="30" spans="1:9" x14ac:dyDescent="0.25">
      <c r="A30">
        <f t="shared" si="2"/>
        <v>2048</v>
      </c>
      <c r="B30" t="s">
        <v>77</v>
      </c>
      <c r="C30">
        <v>385.68</v>
      </c>
      <c r="D30">
        <v>428.13200000000001</v>
      </c>
      <c r="E30">
        <v>355.23</v>
      </c>
      <c r="F30">
        <f>F27 + ((F32 - F27) / (C32 - C27)) * (C30 - C27)</f>
        <v>56.720000000000034</v>
      </c>
      <c r="G30">
        <v>33916.299999999996</v>
      </c>
      <c r="H30">
        <f t="shared" si="0"/>
        <v>3950.0000000000005</v>
      </c>
      <c r="I30">
        <f t="shared" si="1"/>
        <v>3580</v>
      </c>
    </row>
    <row r="31" spans="1:9" x14ac:dyDescent="0.25">
      <c r="A31">
        <f t="shared" si="2"/>
        <v>2049</v>
      </c>
      <c r="B31" t="s">
        <v>77</v>
      </c>
      <c r="C31">
        <v>384.53</v>
      </c>
      <c r="D31">
        <v>427.92600000000004</v>
      </c>
      <c r="E31">
        <v>355.23</v>
      </c>
      <c r="F31">
        <f>F27 + ((F32 - F27) / (C32 - C27)) * (C31 - C27)</f>
        <v>53.019999999999925</v>
      </c>
      <c r="G31">
        <v>33916.299999999996</v>
      </c>
      <c r="H31">
        <f t="shared" si="0"/>
        <v>3950.0000000000005</v>
      </c>
      <c r="I31">
        <f t="shared" si="1"/>
        <v>3580</v>
      </c>
    </row>
    <row r="32" spans="1:9" x14ac:dyDescent="0.25">
      <c r="A32">
        <f t="shared" si="2"/>
        <v>2050</v>
      </c>
      <c r="B32" t="s">
        <v>77</v>
      </c>
      <c r="C32">
        <v>383.38</v>
      </c>
      <c r="D32">
        <v>427.72</v>
      </c>
      <c r="E32">
        <v>355.23</v>
      </c>
      <c r="F32">
        <v>49.32</v>
      </c>
      <c r="G32">
        <v>33916.299999999996</v>
      </c>
      <c r="H32">
        <f t="shared" si="0"/>
        <v>3950.0000000000005</v>
      </c>
      <c r="I32">
        <f t="shared" si="1"/>
        <v>3580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6AB9F-6D6F-4C88-8814-100BD402A958}">
  <dimension ref="A1:C4"/>
  <sheetViews>
    <sheetView workbookViewId="0">
      <selection activeCell="B17" sqref="B17"/>
    </sheetView>
  </sheetViews>
  <sheetFormatPr defaultRowHeight="15" x14ac:dyDescent="0.25"/>
  <cols>
    <col min="1" max="1" width="16" customWidth="1"/>
    <col min="2" max="2" width="51.42578125" customWidth="1"/>
    <col min="3" max="3" width="26.28515625" customWidth="1"/>
  </cols>
  <sheetData>
    <row r="1" spans="1:3" x14ac:dyDescent="0.25">
      <c r="A1" t="s">
        <v>78</v>
      </c>
      <c r="B1" t="s">
        <v>79</v>
      </c>
      <c r="C1" t="s">
        <v>80</v>
      </c>
    </row>
    <row r="2" spans="1:3" x14ac:dyDescent="0.25">
      <c r="A2" t="s">
        <v>81</v>
      </c>
      <c r="B2">
        <v>37.844029636270804</v>
      </c>
      <c r="C2">
        <f xml:space="preserve"> B2 * 10</f>
        <v>378.44029636270807</v>
      </c>
    </row>
    <row r="3" spans="1:3" x14ac:dyDescent="0.25">
      <c r="A3" t="s">
        <v>82</v>
      </c>
      <c r="B3">
        <v>145.51450894247785</v>
      </c>
      <c r="C3">
        <f t="shared" ref="C3:C4" si="0" xml:space="preserve"> B3 * 10</f>
        <v>1455.1450894247785</v>
      </c>
    </row>
    <row r="4" spans="1:3" x14ac:dyDescent="0.25">
      <c r="A4" t="s">
        <v>83</v>
      </c>
      <c r="B4">
        <v>158.85714285714286</v>
      </c>
      <c r="C4">
        <f t="shared" si="0"/>
        <v>1588.5714285714287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M36" sqref="M35:M36"/>
    </sheetView>
  </sheetViews>
  <sheetFormatPr defaultRowHeight="15" x14ac:dyDescent="0.25"/>
  <sheetData>
    <row r="1" spans="1:4" s="1" customFormat="1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89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90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91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92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93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94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95</v>
      </c>
      <c r="B1" s="1" t="s">
        <v>96</v>
      </c>
      <c r="C1" s="1" t="s">
        <v>97</v>
      </c>
      <c r="D1" s="1" t="s">
        <v>98</v>
      </c>
    </row>
    <row r="2" spans="1:4" x14ac:dyDescent="0.25">
      <c r="A2" t="s">
        <v>99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100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101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94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102</v>
      </c>
      <c r="B1" s="1" t="s">
        <v>103</v>
      </c>
      <c r="C1" s="1" t="s">
        <v>104</v>
      </c>
      <c r="D1" s="1"/>
    </row>
    <row r="2" spans="1:4" x14ac:dyDescent="0.25">
      <c r="A2" t="s">
        <v>105</v>
      </c>
      <c r="B2" t="s">
        <v>106</v>
      </c>
      <c r="C2" s="3">
        <v>-2.5000000000000001E-2</v>
      </c>
    </row>
    <row r="3" spans="1:4" x14ac:dyDescent="0.25">
      <c r="A3" t="s">
        <v>107</v>
      </c>
      <c r="B3" t="s">
        <v>108</v>
      </c>
      <c r="C3" s="3">
        <v>-1.2999999999999999E-2</v>
      </c>
    </row>
    <row r="4" spans="1:4" x14ac:dyDescent="0.25">
      <c r="A4" t="s">
        <v>109</v>
      </c>
      <c r="B4" t="s">
        <v>110</v>
      </c>
      <c r="C4" s="3">
        <v>-5.8000000000000003E-2</v>
      </c>
    </row>
    <row r="5" spans="1:4" x14ac:dyDescent="0.25">
      <c r="A5" t="s">
        <v>109</v>
      </c>
      <c r="B5" t="s">
        <v>111</v>
      </c>
      <c r="C5" s="3">
        <v>-0.02</v>
      </c>
    </row>
    <row r="6" spans="1:4" x14ac:dyDescent="0.25">
      <c r="A6" t="s">
        <v>112</v>
      </c>
      <c r="B6" t="s">
        <v>113</v>
      </c>
      <c r="C6" s="3">
        <v>-8.0000000000000002E-3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selection activeCell="B8" sqref="B8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244</v>
      </c>
      <c r="B4">
        <v>38.799999999999997</v>
      </c>
      <c r="C4">
        <v>0.86699999999999999</v>
      </c>
    </row>
    <row r="5" spans="1:3" x14ac:dyDescent="0.25">
      <c r="A5" t="s">
        <v>245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114</v>
      </c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7</v>
      </c>
      <c r="I1" t="s">
        <v>121</v>
      </c>
      <c r="J1" t="s">
        <v>122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123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123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124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125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124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125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126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126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123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123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124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124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126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127</v>
      </c>
      <c r="B1" s="1" t="s">
        <v>128</v>
      </c>
    </row>
    <row r="2" spans="1:2" x14ac:dyDescent="0.25">
      <c r="A2" t="s">
        <v>88</v>
      </c>
      <c r="B2" s="3">
        <v>5.8000000000000003E-2</v>
      </c>
    </row>
    <row r="3" spans="1:2" x14ac:dyDescent="0.25">
      <c r="A3" t="s">
        <v>89</v>
      </c>
      <c r="B3" s="3">
        <v>2.64E-2</v>
      </c>
    </row>
    <row r="4" spans="1:2" x14ac:dyDescent="0.25">
      <c r="A4" t="s">
        <v>90</v>
      </c>
      <c r="B4" s="3">
        <v>2.6700000000000002E-2</v>
      </c>
    </row>
    <row r="5" spans="1:2" x14ac:dyDescent="0.25">
      <c r="A5" t="s">
        <v>91</v>
      </c>
      <c r="B5" s="3">
        <v>4.8000000000000001E-2</v>
      </c>
    </row>
    <row r="6" spans="1:2" x14ac:dyDescent="0.25">
      <c r="A6" t="s">
        <v>92</v>
      </c>
      <c r="B6" s="3">
        <v>5.3100000000000001E-2</v>
      </c>
    </row>
    <row r="7" spans="1:2" x14ac:dyDescent="0.25">
      <c r="A7" t="s">
        <v>93</v>
      </c>
      <c r="B7" s="3">
        <v>9.4500000000000001E-2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46CB-0E62-4050-8558-BB22D3C1896E}">
  <dimension ref="A1:B2"/>
  <sheetViews>
    <sheetView workbookViewId="0">
      <selection activeCell="F17" sqref="F17"/>
    </sheetView>
  </sheetViews>
  <sheetFormatPr defaultRowHeight="15" x14ac:dyDescent="0.25"/>
  <sheetData>
    <row r="1" spans="1:2" x14ac:dyDescent="0.25">
      <c r="A1" t="s">
        <v>246</v>
      </c>
      <c r="B1" t="s">
        <v>247</v>
      </c>
    </row>
    <row r="2" spans="1:2" x14ac:dyDescent="0.25">
      <c r="A2">
        <v>3.7547826086956522</v>
      </c>
      <c r="B2">
        <v>15.264347826086953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129</v>
      </c>
      <c r="B1" s="1" t="s">
        <v>130</v>
      </c>
      <c r="C1" s="1" t="s">
        <v>131</v>
      </c>
      <c r="D1" s="1" t="s">
        <v>76</v>
      </c>
      <c r="E1" s="1" t="s">
        <v>132</v>
      </c>
      <c r="F1" s="1" t="s">
        <v>133</v>
      </c>
    </row>
    <row r="2" spans="1:6" x14ac:dyDescent="0.25">
      <c r="A2" t="s">
        <v>134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135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136</v>
      </c>
      <c r="B1" s="1" t="s">
        <v>137</v>
      </c>
      <c r="C1" s="1" t="s">
        <v>42</v>
      </c>
      <c r="D1" s="1" t="s">
        <v>138</v>
      </c>
    </row>
    <row r="2" spans="1:4" x14ac:dyDescent="0.25">
      <c r="A2" t="s">
        <v>139</v>
      </c>
      <c r="B2">
        <v>25</v>
      </c>
      <c r="C2" t="s">
        <v>140</v>
      </c>
      <c r="D2" t="s">
        <v>141</v>
      </c>
    </row>
    <row r="3" spans="1:4" x14ac:dyDescent="0.25">
      <c r="A3" t="s">
        <v>142</v>
      </c>
      <c r="B3" t="s">
        <v>143</v>
      </c>
      <c r="C3" t="s">
        <v>140</v>
      </c>
      <c r="D3" t="s">
        <v>141</v>
      </c>
    </row>
    <row r="4" spans="1:4" x14ac:dyDescent="0.25">
      <c r="A4" t="s">
        <v>144</v>
      </c>
      <c r="B4">
        <v>-0.4</v>
      </c>
      <c r="C4" t="s">
        <v>140</v>
      </c>
      <c r="D4" t="s">
        <v>141</v>
      </c>
    </row>
    <row r="5" spans="1:4" x14ac:dyDescent="0.25">
      <c r="A5" t="s">
        <v>145</v>
      </c>
      <c r="B5">
        <v>0.5</v>
      </c>
      <c r="C5" t="s">
        <v>146</v>
      </c>
      <c r="D5" t="s">
        <v>147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137</v>
      </c>
      <c r="B1" s="1" t="s">
        <v>148</v>
      </c>
      <c r="C1" s="1" t="s">
        <v>149</v>
      </c>
      <c r="D1" s="1" t="s">
        <v>150</v>
      </c>
      <c r="E1" s="1" t="s">
        <v>151</v>
      </c>
    </row>
    <row r="2" spans="1:5" x14ac:dyDescent="0.25">
      <c r="A2" t="s">
        <v>152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153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154</v>
      </c>
      <c r="B1" s="1" t="s">
        <v>155</v>
      </c>
      <c r="C1" s="1" t="s">
        <v>156</v>
      </c>
    </row>
    <row r="2" spans="1:3" x14ac:dyDescent="0.25">
      <c r="A2" t="s">
        <v>157</v>
      </c>
      <c r="B2">
        <v>2</v>
      </c>
      <c r="C2">
        <v>2.34</v>
      </c>
    </row>
    <row r="3" spans="1:3" x14ac:dyDescent="0.25">
      <c r="A3" t="s">
        <v>158</v>
      </c>
      <c r="B3">
        <v>0.87</v>
      </c>
      <c r="C3">
        <v>1.1399999999999999</v>
      </c>
    </row>
    <row r="4" spans="1:3" x14ac:dyDescent="0.25">
      <c r="A4" t="s">
        <v>159</v>
      </c>
      <c r="B4">
        <v>7.44</v>
      </c>
      <c r="C4">
        <v>15</v>
      </c>
    </row>
    <row r="5" spans="1:3" x14ac:dyDescent="0.25">
      <c r="A5" t="s">
        <v>160</v>
      </c>
      <c r="B5">
        <v>12.9</v>
      </c>
      <c r="C5">
        <v>16.100000000000001</v>
      </c>
    </row>
    <row r="6" spans="1:3" x14ac:dyDescent="0.25">
      <c r="A6" t="s">
        <v>161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sqref="A1:C10"/>
    </sheetView>
  </sheetViews>
  <sheetFormatPr defaultRowHeight="15" x14ac:dyDescent="0.25"/>
  <cols>
    <col min="1" max="1" width="22" customWidth="1"/>
    <col min="2" max="2" width="35.5703125" customWidth="1"/>
    <col min="3" max="3" width="47.85546875" customWidth="1"/>
  </cols>
  <sheetData>
    <row r="1" spans="1:3" s="1" customFormat="1" x14ac:dyDescent="0.25">
      <c r="A1" s="1" t="s">
        <v>162</v>
      </c>
      <c r="B1" s="1" t="s">
        <v>163</v>
      </c>
      <c r="C1" s="1" t="s">
        <v>164</v>
      </c>
    </row>
    <row r="2" spans="1:3" x14ac:dyDescent="0.25">
      <c r="A2" t="s">
        <v>165</v>
      </c>
      <c r="B2">
        <v>1</v>
      </c>
      <c r="C2">
        <v>1.9E-3</v>
      </c>
    </row>
    <row r="3" spans="1:3" x14ac:dyDescent="0.25">
      <c r="A3" t="s">
        <v>165</v>
      </c>
      <c r="B3">
        <v>1.01</v>
      </c>
      <c r="C3">
        <v>2.8999999999999998E-3</v>
      </c>
    </row>
    <row r="4" spans="1:3" x14ac:dyDescent="0.25">
      <c r="A4" t="s">
        <v>165</v>
      </c>
      <c r="B4">
        <v>2</v>
      </c>
      <c r="C4">
        <v>3.8E-3</v>
      </c>
    </row>
    <row r="5" spans="1:3" x14ac:dyDescent="0.25">
      <c r="A5" t="s">
        <v>166</v>
      </c>
      <c r="B5">
        <v>1</v>
      </c>
      <c r="C5">
        <v>1.4E-3</v>
      </c>
    </row>
    <row r="6" spans="1:3" x14ac:dyDescent="0.25">
      <c r="A6" t="s">
        <v>166</v>
      </c>
      <c r="B6">
        <v>1.01</v>
      </c>
      <c r="C6">
        <v>2E-3</v>
      </c>
    </row>
    <row r="7" spans="1:3" x14ac:dyDescent="0.25">
      <c r="A7" t="s">
        <v>166</v>
      </c>
      <c r="B7">
        <v>2</v>
      </c>
      <c r="C7">
        <v>2.7000000000000001E-3</v>
      </c>
    </row>
    <row r="8" spans="1:3" x14ac:dyDescent="0.25">
      <c r="A8" t="s">
        <v>167</v>
      </c>
      <c r="B8">
        <v>1</v>
      </c>
      <c r="C8">
        <v>1E-3</v>
      </c>
    </row>
    <row r="9" spans="1:3" x14ac:dyDescent="0.25">
      <c r="A9" t="s">
        <v>167</v>
      </c>
      <c r="B9">
        <v>1.01</v>
      </c>
      <c r="C9">
        <v>1.4E-3</v>
      </c>
    </row>
    <row r="10" spans="1:3" x14ac:dyDescent="0.25">
      <c r="A10" t="s">
        <v>167</v>
      </c>
      <c r="B10">
        <v>2</v>
      </c>
      <c r="C10">
        <v>1.9E-3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168</v>
      </c>
      <c r="B1" s="1" t="s">
        <v>169</v>
      </c>
      <c r="C1" s="1" t="s">
        <v>170</v>
      </c>
    </row>
    <row r="2" spans="1:3" x14ac:dyDescent="0.25">
      <c r="A2" t="s">
        <v>171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172</v>
      </c>
      <c r="B4">
        <v>1E-3</v>
      </c>
      <c r="C4">
        <v>2E-3</v>
      </c>
    </row>
    <row r="5" spans="1:3" x14ac:dyDescent="0.25">
      <c r="A5" t="s">
        <v>173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174</v>
      </c>
      <c r="B1" s="1" t="s">
        <v>175</v>
      </c>
      <c r="C1" s="1" t="s">
        <v>176</v>
      </c>
      <c r="D1" s="1" t="s">
        <v>177</v>
      </c>
      <c r="E1" s="1" t="s">
        <v>178</v>
      </c>
    </row>
    <row r="2" spans="1:5" x14ac:dyDescent="0.25">
      <c r="A2" t="s">
        <v>179</v>
      </c>
      <c r="B2" t="s">
        <v>180</v>
      </c>
      <c r="D2">
        <v>0.16</v>
      </c>
      <c r="E2">
        <v>0.28999999999999998</v>
      </c>
    </row>
    <row r="3" spans="1:5" x14ac:dyDescent="0.25">
      <c r="A3" t="s">
        <v>181</v>
      </c>
      <c r="B3" t="s">
        <v>180</v>
      </c>
      <c r="D3">
        <v>0.39</v>
      </c>
      <c r="E3">
        <v>0.59</v>
      </c>
    </row>
    <row r="4" spans="1:5" x14ac:dyDescent="0.25">
      <c r="A4" t="s">
        <v>179</v>
      </c>
      <c r="B4" t="s">
        <v>182</v>
      </c>
      <c r="D4">
        <v>0.17</v>
      </c>
      <c r="E4">
        <v>0.39</v>
      </c>
    </row>
    <row r="5" spans="1:5" x14ac:dyDescent="0.25">
      <c r="A5" t="s">
        <v>183</v>
      </c>
      <c r="B5" t="s">
        <v>180</v>
      </c>
      <c r="C5" t="s">
        <v>184</v>
      </c>
      <c r="D5">
        <v>0.84</v>
      </c>
    </row>
    <row r="6" spans="1:5" x14ac:dyDescent="0.25">
      <c r="A6" t="s">
        <v>185</v>
      </c>
      <c r="B6" t="s">
        <v>182</v>
      </c>
      <c r="C6" s="4">
        <v>19500</v>
      </c>
      <c r="D6">
        <v>0.84</v>
      </c>
    </row>
    <row r="7" spans="1:5" x14ac:dyDescent="0.25">
      <c r="A7" t="s">
        <v>186</v>
      </c>
      <c r="B7" t="s">
        <v>182</v>
      </c>
      <c r="C7" s="4">
        <v>26000</v>
      </c>
      <c r="D7">
        <v>0.59</v>
      </c>
      <c r="E7">
        <v>1.1000000000000001</v>
      </c>
    </row>
    <row r="8" spans="1:5" x14ac:dyDescent="0.25">
      <c r="A8" t="s">
        <v>183</v>
      </c>
      <c r="B8" t="s">
        <v>182</v>
      </c>
      <c r="C8" t="s">
        <v>187</v>
      </c>
      <c r="D8">
        <v>0.44</v>
      </c>
      <c r="E8">
        <v>1.1399999999999999</v>
      </c>
    </row>
    <row r="9" spans="1:5" x14ac:dyDescent="0.25">
      <c r="A9" t="s">
        <v>188</v>
      </c>
      <c r="B9" t="s">
        <v>182</v>
      </c>
      <c r="C9" s="4">
        <v>30000</v>
      </c>
      <c r="D9">
        <v>0.97</v>
      </c>
    </row>
    <row r="10" spans="1:5" x14ac:dyDescent="0.25">
      <c r="A10" t="s">
        <v>189</v>
      </c>
      <c r="B10" t="s">
        <v>182</v>
      </c>
      <c r="C10" s="4">
        <v>32000</v>
      </c>
      <c r="D10">
        <v>0.49</v>
      </c>
    </row>
    <row r="11" spans="1:5" x14ac:dyDescent="0.25">
      <c r="A11" t="s">
        <v>190</v>
      </c>
      <c r="B11" t="s">
        <v>182</v>
      </c>
      <c r="C11" s="4">
        <v>37000</v>
      </c>
      <c r="D11">
        <v>0.9</v>
      </c>
      <c r="E11">
        <v>1.5</v>
      </c>
    </row>
    <row r="12" spans="1:5" x14ac:dyDescent="0.25">
      <c r="A12" t="s">
        <v>191</v>
      </c>
      <c r="B12" t="s">
        <v>182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102</v>
      </c>
      <c r="B1" s="1" t="s">
        <v>192</v>
      </c>
      <c r="C1" s="1" t="s">
        <v>193</v>
      </c>
      <c r="D1" s="1" t="s">
        <v>194</v>
      </c>
      <c r="E1" s="1" t="s">
        <v>195</v>
      </c>
    </row>
    <row r="2" spans="1:5" x14ac:dyDescent="0.25">
      <c r="A2" t="s">
        <v>196</v>
      </c>
      <c r="B2" t="s">
        <v>197</v>
      </c>
      <c r="C2" t="s">
        <v>198</v>
      </c>
      <c r="D2" t="s">
        <v>199</v>
      </c>
      <c r="E2" t="s">
        <v>200</v>
      </c>
    </row>
    <row r="3" spans="1:5" x14ac:dyDescent="0.25">
      <c r="A3" t="s">
        <v>201</v>
      </c>
      <c r="B3" t="s">
        <v>202</v>
      </c>
      <c r="C3" t="s">
        <v>203</v>
      </c>
      <c r="D3" t="s">
        <v>204</v>
      </c>
      <c r="E3" t="s">
        <v>205</v>
      </c>
    </row>
    <row r="4" spans="1:5" x14ac:dyDescent="0.25">
      <c r="A4" t="s">
        <v>206</v>
      </c>
      <c r="B4" t="s">
        <v>207</v>
      </c>
      <c r="C4" t="s">
        <v>208</v>
      </c>
      <c r="D4" t="s">
        <v>209</v>
      </c>
      <c r="E4">
        <v>0.1</v>
      </c>
    </row>
    <row r="5" spans="1:5" x14ac:dyDescent="0.25">
      <c r="A5" t="s">
        <v>206</v>
      </c>
      <c r="B5" t="s">
        <v>207</v>
      </c>
      <c r="C5" t="s">
        <v>208</v>
      </c>
      <c r="D5" t="s">
        <v>199</v>
      </c>
      <c r="E5">
        <v>0.39</v>
      </c>
    </row>
    <row r="6" spans="1:5" x14ac:dyDescent="0.25">
      <c r="A6" t="s">
        <v>210</v>
      </c>
      <c r="B6" t="s">
        <v>211</v>
      </c>
      <c r="C6" t="s">
        <v>212</v>
      </c>
      <c r="D6" t="s">
        <v>209</v>
      </c>
      <c r="E6">
        <v>0.59</v>
      </c>
    </row>
    <row r="7" spans="1:5" x14ac:dyDescent="0.25">
      <c r="A7" t="s">
        <v>210</v>
      </c>
      <c r="B7" t="s">
        <v>211</v>
      </c>
      <c r="C7" t="s">
        <v>212</v>
      </c>
      <c r="D7" t="s">
        <v>213</v>
      </c>
      <c r="E7">
        <v>0.79</v>
      </c>
    </row>
    <row r="8" spans="1:5" x14ac:dyDescent="0.25">
      <c r="A8" t="s">
        <v>214</v>
      </c>
      <c r="B8" t="s">
        <v>215</v>
      </c>
      <c r="C8" t="s">
        <v>216</v>
      </c>
      <c r="D8" t="s">
        <v>209</v>
      </c>
      <c r="E8" t="s">
        <v>217</v>
      </c>
    </row>
    <row r="9" spans="1:5" x14ac:dyDescent="0.25">
      <c r="A9" t="s">
        <v>214</v>
      </c>
      <c r="B9" t="s">
        <v>215</v>
      </c>
      <c r="C9" t="s">
        <v>216</v>
      </c>
      <c r="D9" t="s">
        <v>199</v>
      </c>
      <c r="E9" t="s">
        <v>218</v>
      </c>
    </row>
    <row r="10" spans="1:5" x14ac:dyDescent="0.25">
      <c r="A10" t="s">
        <v>219</v>
      </c>
      <c r="B10" t="s">
        <v>220</v>
      </c>
      <c r="C10" t="s">
        <v>221</v>
      </c>
      <c r="D10" t="s">
        <v>209</v>
      </c>
      <c r="E10">
        <v>0.28000000000000003</v>
      </c>
    </row>
    <row r="11" spans="1:5" x14ac:dyDescent="0.25">
      <c r="A11" t="s">
        <v>219</v>
      </c>
      <c r="B11" t="s">
        <v>220</v>
      </c>
      <c r="C11" t="s">
        <v>221</v>
      </c>
      <c r="D11" t="s">
        <v>199</v>
      </c>
      <c r="E11">
        <v>0.9</v>
      </c>
    </row>
    <row r="12" spans="1:5" x14ac:dyDescent="0.25">
      <c r="A12" t="s">
        <v>222</v>
      </c>
      <c r="B12" t="s">
        <v>211</v>
      </c>
      <c r="C12" t="s">
        <v>223</v>
      </c>
      <c r="D12" t="s">
        <v>209</v>
      </c>
      <c r="E12">
        <v>0.2</v>
      </c>
    </row>
    <row r="13" spans="1:5" x14ac:dyDescent="0.25">
      <c r="A13" t="s">
        <v>222</v>
      </c>
      <c r="B13" t="s">
        <v>211</v>
      </c>
      <c r="C13" t="s">
        <v>223</v>
      </c>
      <c r="D13" t="s">
        <v>199</v>
      </c>
      <c r="E13" t="s">
        <v>224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225</v>
      </c>
      <c r="B1" s="1" t="s">
        <v>226</v>
      </c>
      <c r="C1" s="1" t="s">
        <v>227</v>
      </c>
      <c r="D1" s="1" t="s">
        <v>228</v>
      </c>
      <c r="E1" s="1" t="s">
        <v>229</v>
      </c>
    </row>
    <row r="2" spans="1:5" x14ac:dyDescent="0.25">
      <c r="A2" t="s">
        <v>230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231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232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233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234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235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236</v>
      </c>
      <c r="B1" t="s">
        <v>237</v>
      </c>
      <c r="C1" t="s">
        <v>238</v>
      </c>
      <c r="D1" t="s">
        <v>239</v>
      </c>
      <c r="E1" t="s">
        <v>240</v>
      </c>
    </row>
    <row r="2" spans="1:5" x14ac:dyDescent="0.25">
      <c r="A2" t="s">
        <v>241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241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241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241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241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241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241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241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241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241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241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241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241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241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241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241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241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241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241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241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241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241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241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241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241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241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241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241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241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241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241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241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241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241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241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241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241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241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241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241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241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241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241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241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241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241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241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241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241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241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241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241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241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241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241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241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241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241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241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241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241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242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242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242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242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242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242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242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242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242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242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242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242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242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242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242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242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242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242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242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242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242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242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242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242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242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242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242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242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242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242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242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242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242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242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242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242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242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242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242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242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242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242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242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242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242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242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242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242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242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242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242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242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242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242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242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242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242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242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242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242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242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243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243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243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243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243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243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243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243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243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243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243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243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243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243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243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243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243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243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243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243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243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243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243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243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243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243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243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243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243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243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243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243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243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243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243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243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243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243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243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243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243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243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243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243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243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243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243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243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243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243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243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243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243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243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243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243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243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243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243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243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243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TripDistances</vt:lpstr>
      <vt:lpstr>ProjectTypes</vt:lpstr>
      <vt:lpstr>DefaultLifetime</vt:lpstr>
      <vt:lpstr>TransitDependencyAdjustments</vt:lpstr>
      <vt:lpstr>GREETCarbonIntensity</vt:lpstr>
      <vt:lpstr>FuelEfficiency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ChargerUtilizationRates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Giesie, Mallory</dc:creator>
  <cp:keywords/>
  <dc:description/>
  <cp:lastModifiedBy>Giesie, Mallory</cp:lastModifiedBy>
  <cp:revision/>
  <dcterms:created xsi:type="dcterms:W3CDTF">2024-05-31T04:49:48Z</dcterms:created>
  <dcterms:modified xsi:type="dcterms:W3CDTF">2024-10-22T19:13:53Z</dcterms:modified>
  <cp:category/>
  <cp:contentStatus/>
</cp:coreProperties>
</file>