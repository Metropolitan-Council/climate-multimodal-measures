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5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52" documentId="8_{BBC49CD7-68E0-4D8F-B576-EE14E509F0DE}" xr6:coauthVersionLast="47" xr6:coauthVersionMax="47" xr10:uidLastSave="{235B5D1A-0A6F-4A49-A773-A53767DBAF2D}"/>
  <bookViews>
    <workbookView minimized="1" xWindow="840" yWindow="735" windowWidth="18225" windowHeight="15150" firstSheet="17" activeTab="19" xr2:uid="{00000000-000D-0000-FFFF-FFFF00000000}"/>
  </bookViews>
  <sheets>
    <sheet name="ProjectTypes" sheetId="1" r:id="rId1"/>
    <sheet name="DefaultLifetime" sheetId="2" r:id="rId2"/>
    <sheet name="TransitDependencyAdjustments" sheetId="4" r:id="rId3"/>
    <sheet name="GREETCarbonIntensity" sheetId="5" r:id="rId4"/>
    <sheet name="MobilityServiceVMTReduction" sheetId="6" r:id="rId5"/>
    <sheet name="OCTAMobilityHubVMT" sheetId="7" r:id="rId6"/>
    <sheet name="AccesstoTransitImpact" sheetId="8" r:id="rId7"/>
    <sheet name="AdjustmentFactorsAndTripLengths" sheetId="11" r:id="rId8"/>
    <sheet name="TotalVMTReductionPotential" sheetId="12" r:id="rId9"/>
    <sheet name="ElasticityOfRidershipIncrease" sheetId="14" r:id="rId10"/>
    <sheet name="RecommendedBRTImpactAssumptions" sheetId="15" r:id="rId11"/>
    <sheet name="TripAndVMTModeShiftPotential" sheetId="19" r:id="rId12"/>
    <sheet name="EnergyEfficiencyForEVs" sheetId="20" r:id="rId13"/>
    <sheet name="ModeShiftFactor" sheetId="22" r:id="rId14"/>
    <sheet name="CreditForKeyDestinations" sheetId="23" r:id="rId15"/>
    <sheet name="FuelConsumptionAtIdle" sheetId="28" r:id="rId16"/>
    <sheet name="ImpactOfCapacityExpansion " sheetId="32" r:id="rId17"/>
    <sheet name="TotalLifecycleGHGs" sheetId="39" r:id="rId18"/>
    <sheet name="SocialCostCarbon" sheetId="40" r:id="rId19"/>
    <sheet name="FleetProportion" sheetId="41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3" i="5"/>
</calcChain>
</file>

<file path=xl/sharedStrings.xml><?xml version="1.0" encoding="utf-8"?>
<sst xmlns="http://schemas.openxmlformats.org/spreadsheetml/2006/main" count="512" uniqueCount="200">
  <si>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</si>
  <si>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</si>
  <si>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</si>
  <si>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</si>
  <si>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</si>
  <si>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</si>
  <si>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</si>
  <si>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</si>
  <si>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</si>
  <si>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</si>
  <si>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</si>
  <si>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</si>
  <si>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</si>
  <si>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</si>
  <si>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</si>
  <si>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</si>
  <si>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</si>
  <si>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</si>
  <si>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</si>
  <si>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</si>
  <si>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</si>
  <si>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</si>
  <si>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</si>
  <si>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</si>
  <si>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</si>
  <si>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</si>
  <si>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</si>
  <si>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</si>
  <si>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</si>
  <si>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</si>
  <si>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</si>
  <si>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</si>
  <si>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</si>
  <si>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</si>
  <si>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</si>
  <si>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</si>
  <si>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</si>
  <si>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</si>
  <si>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</si>
  <si>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Commuter Rail</t>
  </si>
  <si>
    <t>Core Local</t>
  </si>
  <si>
    <t>Light Rail Transit</t>
  </si>
  <si>
    <t>Suburban Local</t>
  </si>
  <si>
    <t>Support</t>
  </si>
  <si>
    <t>fuel</t>
  </si>
  <si>
    <t>gasoline</t>
  </si>
  <si>
    <t>diesel</t>
  </si>
  <si>
    <t>compressed_natural_gas</t>
  </si>
  <si>
    <t>electricity</t>
  </si>
  <si>
    <t>WTW CI (gCO₂e/mi)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</si>
  <si>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</si>
  <si>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</si>
  <si>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</si>
  <si>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</si>
  <si>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</si>
  <si>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</si>
  <si>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</si>
  <si>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</si>
  <si>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</si>
  <si>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</si>
  <si>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</si>
  <si>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</si>
  <si>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</si>
  <si>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</si>
  <si>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</si>
  <si>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</si>
  <si>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</si>
  <si>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</si>
  <si>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</si>
  <si>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</si>
  <si>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</si>
  <si>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</si>
  <si>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</si>
  <si>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</si>
  <si>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</si>
  <si>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</si>
  <si>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</si>
  <si>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</si>
  <si>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mobility_mode</t>
  </si>
  <si>
    <t>total_vmt_reduction_potential</t>
  </si>
  <si>
    <t>bus</t>
  </si>
  <si>
    <t>commuter_rail</t>
  </si>
  <si>
    <t>light_rail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</si>
  <si>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</si>
  <si>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</si>
  <si>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</si>
  <si>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</si>
  <si>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</si>
  <si>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</si>
  <si>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</si>
  <si>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</si>
  <si>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</si>
  <si>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</si>
  <si>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</si>
  <si>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</si>
  <si>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</si>
  <si>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</si>
  <si>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</si>
  <si>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</si>
  <si>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</si>
  <si>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</si>
  <si>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</si>
  <si>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</si>
  <si>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</si>
  <si>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</si>
  <si>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</si>
  <si>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</si>
  <si>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</si>
  <si>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</si>
  <si>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</si>
  <si>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</si>
  <si>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</si>
  <si>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</si>
  <si>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</si>
  <si>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</si>
  <si>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</si>
  <si>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</si>
  <si>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</si>
  <si>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</si>
  <si>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</si>
  <si>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</si>
  <si>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</si>
  <si>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</si>
  <si>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</si>
  <si>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</si>
  <si>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</si>
  <si>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</si>
  <si>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</si>
  <si>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</si>
  <si>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</si>
  <si>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</si>
  <si>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</si>
  <si>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</si>
  <si>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</si>
  <si>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</si>
  <si>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</si>
  <si>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</si>
  <si>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</si>
  <si>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</si>
  <si>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</si>
  <si>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</si>
  <si>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</si>
  <si>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</si>
  <si>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</si>
  <si>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</si>
  <si>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</si>
  <si>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</si>
  <si>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</si>
  <si>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</si>
  <si>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</si>
  <si>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</si>
  <si>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</si>
  <si>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</si>
  <si>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</si>
  <si>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</si>
  <si>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</si>
  <si>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Cervero and Hansen (2002)</t>
  </si>
  <si>
    <t>California</t>
  </si>
  <si>
    <t>1976-1997</t>
  </si>
  <si>
    <t>Noland (2001)</t>
  </si>
  <si>
    <t>U.S.(States – all roadway types)</t>
  </si>
  <si>
    <t>1984-1996</t>
  </si>
  <si>
    <t>Nolandand Cowart (2000)</t>
  </si>
  <si>
    <t>U.S.(Metro Areas – Freeways and arterials)</t>
  </si>
  <si>
    <t>1982-1996</t>
  </si>
  <si>
    <t>Hansen and Huang (1997)</t>
  </si>
  <si>
    <t>1973-1990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</si>
  <si>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</si>
  <si>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</si>
  <si>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</si>
  <si>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</si>
  <si>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</si>
  <si>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</si>
  <si>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</si>
  <si>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</si>
  <si>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</si>
  <si>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</si>
  <si>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distance_to_transit_variable</t>
  </si>
  <si>
    <t>vmt_reduction_for_reduction_in_distance_to_transit</t>
  </si>
  <si>
    <t>elasticity</t>
  </si>
  <si>
    <t>equipment</t>
  </si>
  <si>
    <t>one_way_facility_length_miles_low</t>
  </si>
  <si>
    <t>one_way_facility_length_miles_high</t>
  </si>
  <si>
    <t>idling_fuel_use_gal_hr_no_load</t>
  </si>
  <si>
    <t>idling_fuel_use_gal_hr_with_load</t>
  </si>
  <si>
    <t>short-term</t>
  </si>
  <si>
    <t>intermediate term</t>
  </si>
  <si>
    <t>0.30 to 0.60</t>
  </si>
  <si>
    <t>0.70 to 1.00</t>
  </si>
  <si>
    <t>0.60 to 0.90</t>
  </si>
  <si>
    <t>ghgs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</si>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</sst>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2</v>
      </c>
      <c r="B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t="s">
        <v>5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8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11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14</v>
      </c>
      <c r="B11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17</v>
      </c>
      <c r="B1" s="1" t="s">
        <v>18</v>
      </c>
      <c r="C1" s="1" t="s">
        <v>19</v>
      </c>
    </row>
    <row r="2" spans="1:3" x14ac:dyDescent="0.25">
      <c r="A2" t="s">
        <v>20</v>
      </c>
      <c r="B2">
        <v>4</v>
      </c>
      <c r="C2" t="s">
        <v>21</v>
      </c>
    </row>
    <row r="3" spans="1:3" x14ac:dyDescent="0.25">
      <c r="A3" t="s">
        <v>22</v>
      </c>
      <c r="B3">
        <v>5</v>
      </c>
      <c r="C3" t="s">
        <v>23</v>
      </c>
    </row>
    <row r="4" spans="1:3" x14ac:dyDescent="0.25">
      <c r="A4" t="s">
        <v>24</v>
      </c>
      <c r="B4">
        <v>7</v>
      </c>
      <c r="C4" t="s">
        <v>25</v>
      </c>
    </row>
    <row r="5" spans="1:3" x14ac:dyDescent="0.25">
      <c r="A5" t="s">
        <v>26</v>
      </c>
      <c r="B5">
        <v>8</v>
      </c>
      <c r="C5" t="s">
        <v>27</v>
      </c>
    </row>
    <row r="6" spans="1:3" x14ac:dyDescent="0.25">
      <c r="A6" t="s">
        <v>28</v>
      </c>
      <c r="B6">
        <v>10</v>
      </c>
      <c r="C6" t="s">
        <v>29</v>
      </c>
    </row>
    <row r="7" spans="1:3" x14ac:dyDescent="0.25">
      <c r="A7" t="s">
        <v>30</v>
      </c>
      <c r="B7">
        <v>14</v>
      </c>
      <c r="C7" t="s">
        <v>31</v>
      </c>
    </row>
    <row r="8" spans="1:3" x14ac:dyDescent="0.25">
      <c r="A8" t="s">
        <v>32</v>
      </c>
      <c r="B8">
        <v>20</v>
      </c>
      <c r="C8" t="s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B6" sqref="A1:C8"/>
    </sheetView>
  </sheetViews>
  <sheetFormatPr defaultRowHeight="15" x14ac:dyDescent="0.25"/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8"/>
  <sheetViews>
    <sheetView workbookViewId="0">
      <selection activeCell="C1" sqref="C1:F1"/>
    </sheetView>
  </sheetViews>
  <sheetFormatPr defaultRowHeight="15" x14ac:dyDescent="0.25"/>
  <cols>
    <col min="2" max="2" width="21.28515625" customWidth="1"/>
  </cols>
  <sheetData>
    <row r="1" spans="1:7" s="1" customFormat="1" x14ac:dyDescent="0.25">
      <c r="A1" s="1" t="s">
        <v>199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7" x14ac:dyDescent="0.25">
      <c r="A2">
        <v>2024</v>
      </c>
      <c r="B2" t="s">
        <v>49</v>
      </c>
      <c r="C2">
        <v>409.73</v>
      </c>
      <c r="D2">
        <v>342.66</v>
      </c>
      <c r="E2">
        <v>355.23</v>
      </c>
      <c r="F2">
        <v>175.45</v>
      </c>
      <c r="G2" s="5"/>
    </row>
    <row r="3" spans="1:7" x14ac:dyDescent="0.25">
      <c r="A3">
        <f>A2+1</f>
        <v>2025</v>
      </c>
      <c r="B3" t="s">
        <v>49</v>
      </c>
      <c r="C3">
        <v>409.73</v>
      </c>
      <c r="D3">
        <v>342.66</v>
      </c>
      <c r="E3">
        <v>355.23</v>
      </c>
      <c r="F3">
        <v>175.45</v>
      </c>
    </row>
    <row r="4" spans="1:7" x14ac:dyDescent="0.25">
      <c r="A4">
        <f t="shared" ref="A4:A58" si="0">A3+1</f>
        <v>2026</v>
      </c>
      <c r="B4" t="s">
        <v>49</v>
      </c>
      <c r="C4">
        <v>409.73</v>
      </c>
      <c r="D4">
        <v>342.66</v>
      </c>
      <c r="E4">
        <v>355.23</v>
      </c>
      <c r="F4">
        <v>175.45</v>
      </c>
    </row>
    <row r="5" spans="1:7" x14ac:dyDescent="0.25">
      <c r="A5">
        <f t="shared" si="0"/>
        <v>2027</v>
      </c>
      <c r="B5" t="s">
        <v>49</v>
      </c>
      <c r="C5">
        <v>409.73</v>
      </c>
      <c r="D5">
        <v>342.66</v>
      </c>
      <c r="E5">
        <v>355.23</v>
      </c>
      <c r="F5">
        <v>175.45</v>
      </c>
    </row>
    <row r="6" spans="1:7" x14ac:dyDescent="0.25">
      <c r="A6">
        <f t="shared" si="0"/>
        <v>2028</v>
      </c>
      <c r="B6" t="s">
        <v>49</v>
      </c>
      <c r="C6">
        <v>409.73</v>
      </c>
      <c r="D6">
        <v>342.66</v>
      </c>
      <c r="E6">
        <v>355.23</v>
      </c>
      <c r="F6">
        <v>175.45</v>
      </c>
    </row>
    <row r="7" spans="1:7" x14ac:dyDescent="0.25">
      <c r="A7">
        <f t="shared" si="0"/>
        <v>2029</v>
      </c>
      <c r="B7" t="s">
        <v>49</v>
      </c>
      <c r="C7">
        <v>409.73</v>
      </c>
      <c r="D7">
        <v>342.66</v>
      </c>
      <c r="E7">
        <v>355.23</v>
      </c>
      <c r="F7">
        <v>175.45</v>
      </c>
    </row>
    <row r="8" spans="1:7" x14ac:dyDescent="0.25">
      <c r="A8">
        <f t="shared" si="0"/>
        <v>2030</v>
      </c>
      <c r="B8" t="s">
        <v>49</v>
      </c>
      <c r="C8">
        <v>409.73</v>
      </c>
      <c r="D8">
        <v>342.66</v>
      </c>
      <c r="E8">
        <v>355.23</v>
      </c>
      <c r="F8">
        <v>175.45</v>
      </c>
    </row>
    <row r="9" spans="1:7" x14ac:dyDescent="0.25">
      <c r="A9">
        <f t="shared" si="0"/>
        <v>2031</v>
      </c>
      <c r="B9" t="s">
        <v>49</v>
      </c>
      <c r="C9">
        <v>409.73</v>
      </c>
      <c r="D9">
        <v>342.66</v>
      </c>
      <c r="E9">
        <v>355.23</v>
      </c>
      <c r="F9">
        <v>175.45</v>
      </c>
    </row>
    <row r="10" spans="1:7" x14ac:dyDescent="0.25">
      <c r="A10">
        <f t="shared" si="0"/>
        <v>2032</v>
      </c>
      <c r="B10" t="s">
        <v>49</v>
      </c>
      <c r="C10">
        <v>409.73</v>
      </c>
      <c r="D10">
        <v>342.66</v>
      </c>
      <c r="E10">
        <v>355.23</v>
      </c>
      <c r="F10">
        <v>175.45</v>
      </c>
    </row>
    <row r="11" spans="1:7" x14ac:dyDescent="0.25">
      <c r="A11">
        <f t="shared" si="0"/>
        <v>2033</v>
      </c>
      <c r="B11" t="s">
        <v>49</v>
      </c>
      <c r="C11">
        <v>409.73</v>
      </c>
      <c r="D11">
        <v>342.66</v>
      </c>
      <c r="E11">
        <v>355.23</v>
      </c>
      <c r="F11">
        <v>175.45</v>
      </c>
    </row>
    <row r="12" spans="1:7" x14ac:dyDescent="0.25">
      <c r="A12">
        <f t="shared" si="0"/>
        <v>2034</v>
      </c>
      <c r="B12" t="s">
        <v>49</v>
      </c>
      <c r="C12">
        <v>409.73</v>
      </c>
      <c r="D12">
        <v>342.66</v>
      </c>
      <c r="E12">
        <v>355.23</v>
      </c>
      <c r="F12">
        <v>175.45</v>
      </c>
    </row>
    <row r="13" spans="1:7" x14ac:dyDescent="0.25">
      <c r="A13">
        <f t="shared" si="0"/>
        <v>2035</v>
      </c>
      <c r="B13" t="s">
        <v>49</v>
      </c>
      <c r="C13">
        <v>409.73</v>
      </c>
      <c r="D13">
        <v>342.66</v>
      </c>
      <c r="E13">
        <v>355.23</v>
      </c>
      <c r="F13">
        <v>175.45</v>
      </c>
    </row>
    <row r="14" spans="1:7" x14ac:dyDescent="0.25">
      <c r="A14">
        <f t="shared" si="0"/>
        <v>2036</v>
      </c>
      <c r="B14" t="s">
        <v>49</v>
      </c>
      <c r="C14">
        <v>409.73</v>
      </c>
      <c r="D14">
        <v>342.66</v>
      </c>
      <c r="E14">
        <v>355.23</v>
      </c>
      <c r="F14">
        <v>175.45</v>
      </c>
    </row>
    <row r="15" spans="1:7" x14ac:dyDescent="0.25">
      <c r="A15">
        <f t="shared" si="0"/>
        <v>2037</v>
      </c>
      <c r="B15" t="s">
        <v>49</v>
      </c>
      <c r="C15">
        <v>409.73</v>
      </c>
      <c r="D15">
        <v>342.66</v>
      </c>
      <c r="E15">
        <v>355.23</v>
      </c>
      <c r="F15">
        <v>175.45</v>
      </c>
    </row>
    <row r="16" spans="1:7" x14ac:dyDescent="0.25">
      <c r="A16">
        <f t="shared" si="0"/>
        <v>2038</v>
      </c>
      <c r="B16" t="s">
        <v>49</v>
      </c>
      <c r="C16">
        <v>409.73</v>
      </c>
      <c r="D16">
        <v>342.66</v>
      </c>
      <c r="E16">
        <v>355.23</v>
      </c>
      <c r="F16">
        <v>175.45</v>
      </c>
    </row>
    <row r="17" spans="1:6" x14ac:dyDescent="0.25">
      <c r="A17">
        <f t="shared" si="0"/>
        <v>2039</v>
      </c>
      <c r="B17" t="s">
        <v>49</v>
      </c>
      <c r="C17">
        <v>409.73</v>
      </c>
      <c r="D17">
        <v>342.66</v>
      </c>
      <c r="E17">
        <v>355.23</v>
      </c>
      <c r="F17">
        <v>175.45</v>
      </c>
    </row>
    <row r="18" spans="1:6" x14ac:dyDescent="0.25">
      <c r="A18">
        <f t="shared" si="0"/>
        <v>2040</v>
      </c>
      <c r="B18" t="s">
        <v>49</v>
      </c>
      <c r="C18">
        <v>409.73</v>
      </c>
      <c r="D18">
        <v>342.66</v>
      </c>
      <c r="E18">
        <v>355.23</v>
      </c>
      <c r="F18">
        <v>175.45</v>
      </c>
    </row>
    <row r="19" spans="1:6" x14ac:dyDescent="0.25">
      <c r="A19">
        <f t="shared" si="0"/>
        <v>2041</v>
      </c>
      <c r="B19" t="s">
        <v>49</v>
      </c>
      <c r="C19">
        <v>409.73</v>
      </c>
      <c r="D19">
        <v>342.66</v>
      </c>
      <c r="E19">
        <v>355.23</v>
      </c>
      <c r="F19">
        <v>175.45</v>
      </c>
    </row>
    <row r="20" spans="1:6" x14ac:dyDescent="0.25">
      <c r="A20">
        <f t="shared" si="0"/>
        <v>2042</v>
      </c>
      <c r="B20" t="s">
        <v>49</v>
      </c>
      <c r="C20">
        <v>409.73</v>
      </c>
      <c r="D20">
        <v>342.66</v>
      </c>
      <c r="E20">
        <v>355.23</v>
      </c>
      <c r="F20">
        <v>175.45</v>
      </c>
    </row>
    <row r="21" spans="1:6" x14ac:dyDescent="0.25">
      <c r="A21">
        <f t="shared" si="0"/>
        <v>2043</v>
      </c>
      <c r="B21" t="s">
        <v>49</v>
      </c>
      <c r="C21">
        <v>409.73</v>
      </c>
      <c r="D21">
        <v>342.66</v>
      </c>
      <c r="E21">
        <v>355.23</v>
      </c>
      <c r="F21">
        <v>175.45</v>
      </c>
    </row>
    <row r="22" spans="1:6" x14ac:dyDescent="0.25">
      <c r="A22">
        <f t="shared" si="0"/>
        <v>2044</v>
      </c>
      <c r="B22" t="s">
        <v>49</v>
      </c>
      <c r="C22">
        <v>409.73</v>
      </c>
      <c r="D22">
        <v>342.66</v>
      </c>
      <c r="E22">
        <v>355.23</v>
      </c>
      <c r="F22">
        <v>175.45</v>
      </c>
    </row>
    <row r="23" spans="1:6" x14ac:dyDescent="0.25">
      <c r="A23">
        <f t="shared" si="0"/>
        <v>2045</v>
      </c>
      <c r="B23" t="s">
        <v>49</v>
      </c>
      <c r="C23">
        <v>409.73</v>
      </c>
      <c r="D23">
        <v>342.66</v>
      </c>
      <c r="E23">
        <v>355.23</v>
      </c>
      <c r="F23">
        <v>175.45</v>
      </c>
    </row>
    <row r="24" spans="1:6" x14ac:dyDescent="0.25">
      <c r="A24">
        <f t="shared" si="0"/>
        <v>2046</v>
      </c>
      <c r="B24" t="s">
        <v>49</v>
      </c>
      <c r="C24">
        <v>409.73</v>
      </c>
      <c r="D24">
        <v>342.66</v>
      </c>
      <c r="E24">
        <v>355.23</v>
      </c>
      <c r="F24">
        <v>175.45</v>
      </c>
    </row>
    <row r="25" spans="1:6" x14ac:dyDescent="0.25">
      <c r="A25">
        <f t="shared" si="0"/>
        <v>2047</v>
      </c>
      <c r="B25" t="s">
        <v>49</v>
      </c>
      <c r="C25">
        <v>409.73</v>
      </c>
      <c r="D25">
        <v>342.66</v>
      </c>
      <c r="E25">
        <v>355.23</v>
      </c>
      <c r="F25">
        <v>175.45</v>
      </c>
    </row>
    <row r="26" spans="1:6" x14ac:dyDescent="0.25">
      <c r="A26">
        <f t="shared" si="0"/>
        <v>2048</v>
      </c>
      <c r="B26" t="s">
        <v>49</v>
      </c>
      <c r="C26">
        <v>409.73</v>
      </c>
      <c r="D26">
        <v>342.66</v>
      </c>
      <c r="E26">
        <v>355.23</v>
      </c>
      <c r="F26">
        <v>175.45</v>
      </c>
    </row>
    <row r="27" spans="1:6" x14ac:dyDescent="0.25">
      <c r="A27">
        <f t="shared" si="0"/>
        <v>2049</v>
      </c>
      <c r="B27" t="s">
        <v>49</v>
      </c>
      <c r="C27">
        <v>409.73</v>
      </c>
      <c r="D27">
        <v>342.66</v>
      </c>
      <c r="E27">
        <v>355.23</v>
      </c>
      <c r="F27">
        <v>175.45</v>
      </c>
    </row>
    <row r="28" spans="1:6" x14ac:dyDescent="0.25">
      <c r="A28">
        <f t="shared" si="0"/>
        <v>2050</v>
      </c>
      <c r="B28" t="s">
        <v>49</v>
      </c>
      <c r="C28">
        <v>409.73</v>
      </c>
      <c r="D28">
        <v>342.66</v>
      </c>
      <c r="E28">
        <v>355.23</v>
      </c>
      <c r="F28">
        <v>175.45</v>
      </c>
    </row>
    <row r="29" spans="1:6" x14ac:dyDescent="0.25">
      <c r="A29">
        <f t="shared" si="0"/>
        <v>2051</v>
      </c>
      <c r="B29" t="s">
        <v>49</v>
      </c>
      <c r="C29">
        <v>409.73</v>
      </c>
      <c r="D29">
        <v>342.66</v>
      </c>
      <c r="E29">
        <v>355.23</v>
      </c>
      <c r="F29">
        <v>175.45</v>
      </c>
    </row>
    <row r="30" spans="1:6" x14ac:dyDescent="0.25">
      <c r="A30">
        <f t="shared" si="0"/>
        <v>2052</v>
      </c>
      <c r="B30" t="s">
        <v>49</v>
      </c>
      <c r="C30">
        <v>409.73</v>
      </c>
      <c r="D30">
        <v>342.66</v>
      </c>
      <c r="E30">
        <v>355.23</v>
      </c>
      <c r="F30">
        <v>175.45</v>
      </c>
    </row>
    <row r="31" spans="1:6" x14ac:dyDescent="0.25">
      <c r="A31">
        <f t="shared" si="0"/>
        <v>2053</v>
      </c>
      <c r="B31" t="s">
        <v>49</v>
      </c>
      <c r="C31">
        <v>409.73</v>
      </c>
      <c r="D31">
        <v>342.66</v>
      </c>
      <c r="E31">
        <v>355.23</v>
      </c>
      <c r="F31">
        <v>175.45</v>
      </c>
    </row>
    <row r="32" spans="1:6" x14ac:dyDescent="0.25">
      <c r="A32">
        <f t="shared" si="0"/>
        <v>2054</v>
      </c>
      <c r="B32" t="s">
        <v>49</v>
      </c>
      <c r="C32">
        <v>409.73</v>
      </c>
      <c r="D32">
        <v>342.66</v>
      </c>
      <c r="E32">
        <v>355.23</v>
      </c>
      <c r="F32">
        <v>175.45</v>
      </c>
    </row>
    <row r="33" spans="1:6" x14ac:dyDescent="0.25">
      <c r="A33">
        <f t="shared" si="0"/>
        <v>2055</v>
      </c>
      <c r="B33" t="s">
        <v>49</v>
      </c>
      <c r="C33">
        <v>409.73</v>
      </c>
      <c r="D33">
        <v>342.66</v>
      </c>
      <c r="E33">
        <v>355.23</v>
      </c>
      <c r="F33">
        <v>175.45</v>
      </c>
    </row>
    <row r="34" spans="1:6" x14ac:dyDescent="0.25">
      <c r="A34">
        <f t="shared" si="0"/>
        <v>2056</v>
      </c>
      <c r="B34" t="s">
        <v>49</v>
      </c>
      <c r="C34">
        <v>409.73</v>
      </c>
      <c r="D34">
        <v>342.66</v>
      </c>
      <c r="E34">
        <v>355.23</v>
      </c>
      <c r="F34">
        <v>175.45</v>
      </c>
    </row>
    <row r="35" spans="1:6" x14ac:dyDescent="0.25">
      <c r="A35">
        <f t="shared" si="0"/>
        <v>2057</v>
      </c>
      <c r="B35" t="s">
        <v>49</v>
      </c>
      <c r="C35">
        <v>409.73</v>
      </c>
      <c r="D35">
        <v>342.66</v>
      </c>
      <c r="E35">
        <v>355.23</v>
      </c>
      <c r="F35">
        <v>175.45</v>
      </c>
    </row>
    <row r="36" spans="1:6" x14ac:dyDescent="0.25">
      <c r="A36">
        <f t="shared" si="0"/>
        <v>2058</v>
      </c>
      <c r="B36" t="s">
        <v>49</v>
      </c>
      <c r="C36">
        <v>409.73</v>
      </c>
      <c r="D36">
        <v>342.66</v>
      </c>
      <c r="E36">
        <v>355.23</v>
      </c>
      <c r="F36">
        <v>175.45</v>
      </c>
    </row>
    <row r="37" spans="1:6" x14ac:dyDescent="0.25">
      <c r="A37">
        <f t="shared" si="0"/>
        <v>2059</v>
      </c>
      <c r="B37" t="s">
        <v>49</v>
      </c>
      <c r="C37">
        <v>409.73</v>
      </c>
      <c r="D37">
        <v>342.66</v>
      </c>
      <c r="E37">
        <v>355.23</v>
      </c>
      <c r="F37">
        <v>175.45</v>
      </c>
    </row>
    <row r="38" spans="1:6" x14ac:dyDescent="0.25">
      <c r="A38">
        <f t="shared" si="0"/>
        <v>2060</v>
      </c>
      <c r="B38" t="s">
        <v>49</v>
      </c>
      <c r="C38">
        <v>409.73</v>
      </c>
      <c r="D38">
        <v>342.66</v>
      </c>
      <c r="E38">
        <v>355.23</v>
      </c>
      <c r="F38">
        <v>175.45</v>
      </c>
    </row>
    <row r="39" spans="1:6" x14ac:dyDescent="0.25">
      <c r="A39">
        <f t="shared" si="0"/>
        <v>2061</v>
      </c>
      <c r="B39" t="s">
        <v>49</v>
      </c>
      <c r="C39">
        <v>409.73</v>
      </c>
      <c r="D39">
        <v>342.66</v>
      </c>
      <c r="E39">
        <v>355.23</v>
      </c>
      <c r="F39">
        <v>175.45</v>
      </c>
    </row>
    <row r="40" spans="1:6" x14ac:dyDescent="0.25">
      <c r="A40">
        <f t="shared" si="0"/>
        <v>2062</v>
      </c>
      <c r="B40" t="s">
        <v>49</v>
      </c>
      <c r="C40">
        <v>409.73</v>
      </c>
      <c r="D40">
        <v>342.66</v>
      </c>
      <c r="E40">
        <v>355.23</v>
      </c>
      <c r="F40">
        <v>175.45</v>
      </c>
    </row>
    <row r="41" spans="1:6" x14ac:dyDescent="0.25">
      <c r="A41">
        <f t="shared" si="0"/>
        <v>2063</v>
      </c>
      <c r="B41" t="s">
        <v>49</v>
      </c>
      <c r="C41">
        <v>409.73</v>
      </c>
      <c r="D41">
        <v>342.66</v>
      </c>
      <c r="E41">
        <v>355.23</v>
      </c>
      <c r="F41">
        <v>175.45</v>
      </c>
    </row>
    <row r="42" spans="1:6" x14ac:dyDescent="0.25">
      <c r="A42">
        <f t="shared" si="0"/>
        <v>2064</v>
      </c>
      <c r="B42" t="s">
        <v>49</v>
      </c>
      <c r="C42">
        <v>409.73</v>
      </c>
      <c r="D42">
        <v>342.66</v>
      </c>
      <c r="E42">
        <v>355.23</v>
      </c>
      <c r="F42">
        <v>175.45</v>
      </c>
    </row>
    <row r="43" spans="1:6" x14ac:dyDescent="0.25">
      <c r="A43">
        <f t="shared" si="0"/>
        <v>2065</v>
      </c>
      <c r="B43" t="s">
        <v>49</v>
      </c>
      <c r="C43">
        <v>409.73</v>
      </c>
      <c r="D43">
        <v>342.66</v>
      </c>
      <c r="E43">
        <v>355.23</v>
      </c>
      <c r="F43">
        <v>175.45</v>
      </c>
    </row>
    <row r="44" spans="1:6" x14ac:dyDescent="0.25">
      <c r="A44">
        <f t="shared" si="0"/>
        <v>2066</v>
      </c>
      <c r="B44" t="s">
        <v>49</v>
      </c>
      <c r="C44">
        <v>409.73</v>
      </c>
      <c r="D44">
        <v>342.66</v>
      </c>
      <c r="E44">
        <v>355.23</v>
      </c>
      <c r="F44">
        <v>175.45</v>
      </c>
    </row>
    <row r="45" spans="1:6" x14ac:dyDescent="0.25">
      <c r="A45">
        <f t="shared" si="0"/>
        <v>2067</v>
      </c>
      <c r="B45" t="s">
        <v>49</v>
      </c>
      <c r="C45">
        <v>409.73</v>
      </c>
      <c r="D45">
        <v>342.66</v>
      </c>
      <c r="E45">
        <v>355.23</v>
      </c>
      <c r="F45">
        <v>175.45</v>
      </c>
    </row>
    <row r="46" spans="1:6" x14ac:dyDescent="0.25">
      <c r="A46">
        <f t="shared" si="0"/>
        <v>2068</v>
      </c>
      <c r="B46" t="s">
        <v>49</v>
      </c>
      <c r="C46">
        <v>409.73</v>
      </c>
      <c r="D46">
        <v>342.66</v>
      </c>
      <c r="E46">
        <v>355.23</v>
      </c>
      <c r="F46">
        <v>175.45</v>
      </c>
    </row>
    <row r="47" spans="1:6" x14ac:dyDescent="0.25">
      <c r="A47">
        <f t="shared" si="0"/>
        <v>2069</v>
      </c>
      <c r="B47" t="s">
        <v>49</v>
      </c>
      <c r="C47">
        <v>409.73</v>
      </c>
      <c r="D47">
        <v>342.66</v>
      </c>
      <c r="E47">
        <v>355.23</v>
      </c>
      <c r="F47">
        <v>175.45</v>
      </c>
    </row>
    <row r="48" spans="1:6" x14ac:dyDescent="0.25">
      <c r="A48">
        <f t="shared" si="0"/>
        <v>2070</v>
      </c>
      <c r="B48" t="s">
        <v>49</v>
      </c>
      <c r="C48">
        <v>409.73</v>
      </c>
      <c r="D48">
        <v>342.66</v>
      </c>
      <c r="E48">
        <v>355.23</v>
      </c>
      <c r="F48">
        <v>175.45</v>
      </c>
    </row>
    <row r="49" spans="1:6" x14ac:dyDescent="0.25">
      <c r="A49">
        <f t="shared" si="0"/>
        <v>2071</v>
      </c>
      <c r="B49" t="s">
        <v>49</v>
      </c>
      <c r="C49">
        <v>409.73</v>
      </c>
      <c r="D49">
        <v>342.66</v>
      </c>
      <c r="E49">
        <v>355.23</v>
      </c>
      <c r="F49">
        <v>175.45</v>
      </c>
    </row>
    <row r="50" spans="1:6" x14ac:dyDescent="0.25">
      <c r="A50">
        <f t="shared" si="0"/>
        <v>2072</v>
      </c>
      <c r="B50" t="s">
        <v>49</v>
      </c>
      <c r="C50">
        <v>409.73</v>
      </c>
      <c r="D50">
        <v>342.66</v>
      </c>
      <c r="E50">
        <v>355.23</v>
      </c>
      <c r="F50">
        <v>175.45</v>
      </c>
    </row>
    <row r="51" spans="1:6" x14ac:dyDescent="0.25">
      <c r="A51">
        <f t="shared" si="0"/>
        <v>2073</v>
      </c>
      <c r="B51" t="s">
        <v>49</v>
      </c>
      <c r="C51">
        <v>409.73</v>
      </c>
      <c r="D51">
        <v>342.66</v>
      </c>
      <c r="E51">
        <v>355.23</v>
      </c>
      <c r="F51">
        <v>175.45</v>
      </c>
    </row>
    <row r="52" spans="1:6" x14ac:dyDescent="0.25">
      <c r="A52">
        <f t="shared" si="0"/>
        <v>2074</v>
      </c>
      <c r="B52" t="s">
        <v>49</v>
      </c>
      <c r="C52">
        <v>409.73</v>
      </c>
      <c r="D52">
        <v>342.66</v>
      </c>
      <c r="E52">
        <v>355.23</v>
      </c>
      <c r="F52">
        <v>175.45</v>
      </c>
    </row>
    <row r="53" spans="1:6" x14ac:dyDescent="0.25">
      <c r="A53">
        <f t="shared" si="0"/>
        <v>2075</v>
      </c>
      <c r="B53" t="s">
        <v>49</v>
      </c>
      <c r="C53">
        <v>409.73</v>
      </c>
      <c r="D53">
        <v>342.66</v>
      </c>
      <c r="E53">
        <v>355.23</v>
      </c>
      <c r="F53">
        <v>175.45</v>
      </c>
    </row>
    <row r="54" spans="1:6" x14ac:dyDescent="0.25">
      <c r="A54">
        <f t="shared" si="0"/>
        <v>2076</v>
      </c>
      <c r="B54" t="s">
        <v>49</v>
      </c>
      <c r="C54">
        <v>409.73</v>
      </c>
      <c r="D54">
        <v>342.66</v>
      </c>
      <c r="E54">
        <v>355.23</v>
      </c>
      <c r="F54">
        <v>175.45</v>
      </c>
    </row>
    <row r="55" spans="1:6" x14ac:dyDescent="0.25">
      <c r="A55">
        <f t="shared" si="0"/>
        <v>2077</v>
      </c>
      <c r="B55" t="s">
        <v>49</v>
      </c>
      <c r="C55">
        <v>409.73</v>
      </c>
      <c r="D55">
        <v>342.66</v>
      </c>
      <c r="E55">
        <v>355.23</v>
      </c>
      <c r="F55">
        <v>175.45</v>
      </c>
    </row>
    <row r="56" spans="1:6" x14ac:dyDescent="0.25">
      <c r="A56">
        <f t="shared" si="0"/>
        <v>2078</v>
      </c>
      <c r="B56" t="s">
        <v>49</v>
      </c>
      <c r="C56">
        <v>409.73</v>
      </c>
      <c r="D56">
        <v>342.66</v>
      </c>
      <c r="E56">
        <v>355.23</v>
      </c>
      <c r="F56">
        <v>175.45</v>
      </c>
    </row>
    <row r="57" spans="1:6" x14ac:dyDescent="0.25">
      <c r="A57">
        <f t="shared" si="0"/>
        <v>2079</v>
      </c>
      <c r="B57" t="s">
        <v>49</v>
      </c>
      <c r="C57">
        <v>409.73</v>
      </c>
      <c r="D57">
        <v>342.66</v>
      </c>
      <c r="E57">
        <v>355.23</v>
      </c>
      <c r="F57">
        <v>175.45</v>
      </c>
    </row>
    <row r="58" spans="1:6" x14ac:dyDescent="0.25">
      <c r="A58">
        <f t="shared" si="0"/>
        <v>2080</v>
      </c>
      <c r="B58" t="s">
        <v>49</v>
      </c>
      <c r="C58">
        <v>409.73</v>
      </c>
      <c r="D58">
        <v>342.66</v>
      </c>
      <c r="E58">
        <v>355.23</v>
      </c>
      <c r="F58">
        <v>175.45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D4" sqref="D4"/>
    </sheetView>
  </sheetViews>
  <sheetFormatPr defaultRowHeight="15" x14ac:dyDescent="0.25"/>
  <sheetData>
    <row r="1" spans="1:4" s="1" customFormat="1" x14ac:dyDescent="0.25">
      <c r="A1" s="1" t="s">
        <v>50</v>
      </c>
      <c r="B1" s="1" t="s">
        <v>51</v>
      </c>
      <c r="C1" s="1" t="s">
        <v>52</v>
      </c>
      <c r="D1" s="1" t="s">
        <v>53</v>
      </c>
    </row>
    <row r="2" spans="1:4" x14ac:dyDescent="0.25">
      <c r="A2" t="s">
        <v>54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55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56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57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58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59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60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5" sqref="B2:D5"/>
    </sheetView>
  </sheetViews>
  <sheetFormatPr defaultRowHeight="15" x14ac:dyDescent="0.25"/>
  <sheetData>
    <row r="1" spans="1:4" s="1" customFormat="1" x14ac:dyDescent="0.25">
      <c r="A1" s="1" t="s">
        <v>61</v>
      </c>
      <c r="B1" s="1" t="s">
        <v>62</v>
      </c>
      <c r="C1" s="1" t="s">
        <v>63</v>
      </c>
      <c r="D1" s="1" t="s">
        <v>64</v>
      </c>
    </row>
    <row r="2" spans="1:4" x14ac:dyDescent="0.25">
      <c r="A2" t="s">
        <v>65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66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67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60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68</v>
      </c>
      <c r="B1" s="1" t="s">
        <v>177</v>
      </c>
      <c r="C1" s="1" t="s">
        <v>178</v>
      </c>
      <c r="D1" s="1"/>
    </row>
    <row r="2" spans="1:4" x14ac:dyDescent="0.25">
      <c r="A2" t="s">
        <v>69</v>
      </c>
      <c r="B2" t="s">
        <v>70</v>
      </c>
      <c r="C2" s="3">
        <v>-2.5000000000000001E-2</v>
      </c>
    </row>
    <row r="3" spans="1:4" x14ac:dyDescent="0.25">
      <c r="A3" t="s">
        <v>71</v>
      </c>
      <c r="B3" t="s">
        <v>72</v>
      </c>
      <c r="C3" s="3">
        <v>-1.2999999999999999E-2</v>
      </c>
    </row>
    <row r="4" spans="1:4" x14ac:dyDescent="0.25">
      <c r="A4" t="s">
        <v>73</v>
      </c>
      <c r="B4" t="s">
        <v>74</v>
      </c>
      <c r="C4" s="3">
        <v>-5.8000000000000003E-2</v>
      </c>
    </row>
    <row r="5" spans="1:4" x14ac:dyDescent="0.25">
      <c r="A5" t="s">
        <v>73</v>
      </c>
      <c r="B5" t="s">
        <v>75</v>
      </c>
      <c r="C5" s="3">
        <v>-0.02</v>
      </c>
    </row>
    <row r="6" spans="1:4" x14ac:dyDescent="0.25">
      <c r="A6" t="s">
        <v>76</v>
      </c>
      <c r="B6" t="s">
        <v>77</v>
      </c>
      <c r="C6" s="3">
        <v>-8.0000000000000002E-3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C2" sqref="A1:C8"/>
    </sheetView>
  </sheetViews>
  <sheetFormatPr defaultRowHeight="15" x14ac:dyDescent="0.25"/>
  <cols>
    <col min="1" max="1" width="30.85546875" customWidth="1"/>
  </cols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B7" sqref="A1:B7"/>
    </sheetView>
  </sheetViews>
  <sheetFormatPr defaultRowHeight="15" x14ac:dyDescent="0.25"/>
  <sheetData>
    <row r="1" spans="1:2" s="1" customFormat="1" x14ac:dyDescent="0.25">
      <c r="A1" s="1" t="s">
        <v>78</v>
      </c>
      <c r="B1" s="1" t="s">
        <v>79</v>
      </c>
    </row>
    <row r="2" spans="1:2" x14ac:dyDescent="0.25">
      <c r="A2" t="s">
        <v>54</v>
      </c>
      <c r="B2" s="3">
        <v>5.8000000000000003E-2</v>
      </c>
    </row>
    <row r="3" spans="1:2" x14ac:dyDescent="0.25">
      <c r="A3" t="s">
        <v>55</v>
      </c>
      <c r="B3" s="3">
        <v>2.64E-2</v>
      </c>
    </row>
    <row r="4" spans="1:2" x14ac:dyDescent="0.25">
      <c r="A4" t="s">
        <v>56</v>
      </c>
      <c r="B4" s="3">
        <v>2.6700000000000002E-2</v>
      </c>
    </row>
    <row r="5" spans="1:2" x14ac:dyDescent="0.25">
      <c r="A5" t="s">
        <v>57</v>
      </c>
      <c r="B5" s="3">
        <v>4.8000000000000001E-2</v>
      </c>
    </row>
    <row r="6" spans="1:2" x14ac:dyDescent="0.25">
      <c r="A6" t="s">
        <v>58</v>
      </c>
      <c r="B6" s="3">
        <v>5.3100000000000001E-2</v>
      </c>
    </row>
    <row r="7" spans="1:2" x14ac:dyDescent="0.25">
      <c r="A7" t="s">
        <v>59</v>
      </c>
      <c r="B7" s="3">
        <v>9.4500000000000001E-2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</row>
    <row r="2" spans="1:6" x14ac:dyDescent="0.25">
      <c r="A2" t="s">
        <v>85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86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87</v>
      </c>
      <c r="B1" s="1" t="s">
        <v>88</v>
      </c>
      <c r="C1" s="1" t="s">
        <v>19</v>
      </c>
      <c r="D1" s="1" t="s">
        <v>89</v>
      </c>
    </row>
    <row r="2" spans="1:4" x14ac:dyDescent="0.25">
      <c r="A2" t="s">
        <v>90</v>
      </c>
      <c r="B2">
        <v>25</v>
      </c>
      <c r="C2" t="s">
        <v>91</v>
      </c>
      <c r="D2" t="s">
        <v>92</v>
      </c>
    </row>
    <row r="3" spans="1:4" x14ac:dyDescent="0.25">
      <c r="A3" t="s">
        <v>93</v>
      </c>
      <c r="B3" t="s">
        <v>94</v>
      </c>
      <c r="C3" t="s">
        <v>91</v>
      </c>
      <c r="D3" t="s">
        <v>92</v>
      </c>
    </row>
    <row r="4" spans="1:4" x14ac:dyDescent="0.25">
      <c r="A4" t="s">
        <v>95</v>
      </c>
      <c r="B4">
        <v>-0.4</v>
      </c>
      <c r="C4" t="s">
        <v>91</v>
      </c>
      <c r="D4" t="s">
        <v>92</v>
      </c>
    </row>
    <row r="5" spans="1:4" x14ac:dyDescent="0.25">
      <c r="A5" t="s">
        <v>96</v>
      </c>
      <c r="B5">
        <v>0.5</v>
      </c>
      <c r="C5" t="s">
        <v>97</v>
      </c>
      <c r="D5" t="s">
        <v>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D3" sqref="A1:E3"/>
    </sheetView>
  </sheetViews>
  <sheetFormatPr defaultRowHeight="15" x14ac:dyDescent="0.25"/>
  <sheetData>
    <row r="1" spans="1:5" s="1" customFormat="1" x14ac:dyDescent="0.25">
      <c r="A1" s="1" t="s">
        <v>88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104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" sqref="A2"/>
    </sheetView>
  </sheetViews>
  <sheetFormatPr defaultRowHeight="15" x14ac:dyDescent="0.25"/>
  <sheetData>
    <row r="1" spans="1:3" s="1" customFormat="1" x14ac:dyDescent="0.25">
      <c r="A1" s="1" t="s">
        <v>180</v>
      </c>
      <c r="B1" s="1" t="s">
        <v>105</v>
      </c>
      <c r="C1" s="1" t="s">
        <v>106</v>
      </c>
    </row>
    <row r="2" spans="1:3" x14ac:dyDescent="0.25">
      <c r="A2" t="s">
        <v>107</v>
      </c>
      <c r="B2">
        <v>2</v>
      </c>
      <c r="C2">
        <v>2.34</v>
      </c>
    </row>
    <row r="3" spans="1:3" x14ac:dyDescent="0.25">
      <c r="A3" t="s">
        <v>108</v>
      </c>
      <c r="B3">
        <v>0.87</v>
      </c>
      <c r="C3">
        <v>1.1399999999999999</v>
      </c>
    </row>
    <row r="4" spans="1:3" x14ac:dyDescent="0.25">
      <c r="A4" t="s">
        <v>109</v>
      </c>
      <c r="B4">
        <v>7.44</v>
      </c>
      <c r="C4">
        <v>15</v>
      </c>
    </row>
    <row r="5" spans="1:3" x14ac:dyDescent="0.25">
      <c r="A5" t="s">
        <v>110</v>
      </c>
      <c r="B5">
        <v>12.9</v>
      </c>
      <c r="C5">
        <v>16.100000000000001</v>
      </c>
    </row>
    <row r="6" spans="1:3" x14ac:dyDescent="0.25">
      <c r="A6" t="s">
        <v>111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0"/>
  <sheetViews>
    <sheetView workbookViewId="0"/>
  </sheetViews>
  <sheetFormatPr defaultRowHeight="15" x14ac:dyDescent="0.25"/>
  <sheetData>
    <row r="1" spans="1:4" s="1" customFormat="1" x14ac:dyDescent="0.25">
      <c r="A1" s="1" t="s">
        <v>112</v>
      </c>
      <c r="B1" s="1" t="s">
        <v>181</v>
      </c>
      <c r="C1" s="1" t="s">
        <v>182</v>
      </c>
      <c r="D1" s="1" t="s">
        <v>113</v>
      </c>
    </row>
    <row r="2" spans="1:4" x14ac:dyDescent="0.25">
      <c r="A2" t="s">
        <v>114</v>
      </c>
      <c r="B2">
        <v>1</v>
      </c>
      <c r="C2">
        <v>1</v>
      </c>
      <c r="D2">
        <v>1.9E-3</v>
      </c>
    </row>
    <row r="3" spans="1:4" x14ac:dyDescent="0.25">
      <c r="A3" t="s">
        <v>114</v>
      </c>
      <c r="B3">
        <v>1.01</v>
      </c>
      <c r="C3">
        <v>2</v>
      </c>
      <c r="D3">
        <v>2.8999999999999998E-3</v>
      </c>
    </row>
    <row r="4" spans="1:4" x14ac:dyDescent="0.25">
      <c r="A4" t="s">
        <v>114</v>
      </c>
      <c r="B4">
        <v>2</v>
      </c>
      <c r="D4">
        <v>3.8E-3</v>
      </c>
    </row>
    <row r="5" spans="1:4" x14ac:dyDescent="0.25">
      <c r="A5" t="s">
        <v>115</v>
      </c>
      <c r="B5">
        <v>1</v>
      </c>
      <c r="C5">
        <v>1</v>
      </c>
      <c r="D5">
        <v>1.4E-3</v>
      </c>
    </row>
    <row r="6" spans="1:4" x14ac:dyDescent="0.25">
      <c r="A6" t="s">
        <v>115</v>
      </c>
      <c r="B6">
        <v>1.01</v>
      </c>
      <c r="C6">
        <v>2</v>
      </c>
      <c r="D6">
        <v>2E-3</v>
      </c>
    </row>
    <row r="7" spans="1:4" x14ac:dyDescent="0.25">
      <c r="A7" t="s">
        <v>115</v>
      </c>
      <c r="B7">
        <v>2</v>
      </c>
      <c r="D7">
        <v>2.7000000000000001E-3</v>
      </c>
    </row>
    <row r="8" spans="1:4" x14ac:dyDescent="0.25">
      <c r="A8" t="s">
        <v>116</v>
      </c>
      <c r="B8">
        <v>1</v>
      </c>
      <c r="C8">
        <v>1</v>
      </c>
      <c r="D8">
        <v>1E-3</v>
      </c>
    </row>
    <row r="9" spans="1:4" x14ac:dyDescent="0.25">
      <c r="A9" t="s">
        <v>116</v>
      </c>
      <c r="B9">
        <v>1.01</v>
      </c>
      <c r="C9">
        <v>2</v>
      </c>
      <c r="D9">
        <v>1.4E-3</v>
      </c>
    </row>
    <row r="10" spans="1:4" x14ac:dyDescent="0.25">
      <c r="A10" t="s">
        <v>116</v>
      </c>
      <c r="B10">
        <v>2</v>
      </c>
      <c r="D10">
        <v>1.9E-3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117</v>
      </c>
      <c r="B1" s="1" t="s">
        <v>118</v>
      </c>
      <c r="C1" s="1" t="s">
        <v>119</v>
      </c>
    </row>
    <row r="2" spans="1:3" x14ac:dyDescent="0.25">
      <c r="A2" t="s">
        <v>120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121</v>
      </c>
      <c r="B4">
        <v>1E-3</v>
      </c>
      <c r="C4">
        <v>2E-3</v>
      </c>
    </row>
    <row r="5" spans="1:3" x14ac:dyDescent="0.25">
      <c r="A5" t="s">
        <v>122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workbookViewId="0">
      <selection activeCell="C2" sqref="C2:C4"/>
    </sheetView>
  </sheetViews>
  <sheetFormatPr defaultRowHeight="15" x14ac:dyDescent="0.25"/>
  <sheetData>
    <row r="1" spans="1:5" s="1" customFormat="1" x14ac:dyDescent="0.25">
      <c r="A1" s="1" t="s">
        <v>123</v>
      </c>
      <c r="B1" s="1" t="s">
        <v>124</v>
      </c>
      <c r="C1" s="1" t="s">
        <v>125</v>
      </c>
      <c r="D1" s="1" t="s">
        <v>183</v>
      </c>
      <c r="E1" s="1" t="s">
        <v>184</v>
      </c>
    </row>
    <row r="2" spans="1:5" x14ac:dyDescent="0.25">
      <c r="A2" t="s">
        <v>126</v>
      </c>
      <c r="B2" t="s">
        <v>127</v>
      </c>
      <c r="D2">
        <v>0.16</v>
      </c>
      <c r="E2">
        <v>0.28999999999999998</v>
      </c>
    </row>
    <row r="3" spans="1:5" x14ac:dyDescent="0.25">
      <c r="A3" t="s">
        <v>128</v>
      </c>
      <c r="B3" t="s">
        <v>127</v>
      </c>
      <c r="D3">
        <v>0.39</v>
      </c>
      <c r="E3">
        <v>0.59</v>
      </c>
    </row>
    <row r="4" spans="1:5" x14ac:dyDescent="0.25">
      <c r="A4" t="s">
        <v>126</v>
      </c>
      <c r="B4" t="s">
        <v>129</v>
      </c>
      <c r="D4">
        <v>0.17</v>
      </c>
      <c r="E4">
        <v>0.39</v>
      </c>
    </row>
    <row r="5" spans="1:5" x14ac:dyDescent="0.25">
      <c r="A5" t="s">
        <v>130</v>
      </c>
      <c r="B5" t="s">
        <v>127</v>
      </c>
      <c r="C5" t="s">
        <v>131</v>
      </c>
      <c r="D5">
        <v>0.84</v>
      </c>
    </row>
    <row r="6" spans="1:5" x14ac:dyDescent="0.25">
      <c r="A6" t="s">
        <v>132</v>
      </c>
      <c r="B6" t="s">
        <v>129</v>
      </c>
      <c r="C6" s="4">
        <v>19500</v>
      </c>
      <c r="D6">
        <v>0.84</v>
      </c>
    </row>
    <row r="7" spans="1:5" x14ac:dyDescent="0.25">
      <c r="A7" t="s">
        <v>133</v>
      </c>
      <c r="B7" t="s">
        <v>129</v>
      </c>
      <c r="C7" s="4">
        <v>26000</v>
      </c>
      <c r="D7">
        <v>0.59</v>
      </c>
      <c r="E7">
        <v>1.1000000000000001</v>
      </c>
    </row>
    <row r="8" spans="1:5" x14ac:dyDescent="0.25">
      <c r="A8" t="s">
        <v>130</v>
      </c>
      <c r="B8" t="s">
        <v>129</v>
      </c>
      <c r="C8" t="s">
        <v>134</v>
      </c>
      <c r="D8">
        <v>0.44</v>
      </c>
      <c r="E8">
        <v>1.1399999999999999</v>
      </c>
    </row>
    <row r="9" spans="1:5" x14ac:dyDescent="0.25">
      <c r="A9" t="s">
        <v>135</v>
      </c>
      <c r="B9" t="s">
        <v>129</v>
      </c>
      <c r="C9" s="4">
        <v>30000</v>
      </c>
      <c r="D9">
        <v>0.97</v>
      </c>
    </row>
    <row r="10" spans="1:5" x14ac:dyDescent="0.25">
      <c r="A10" t="s">
        <v>136</v>
      </c>
      <c r="B10" t="s">
        <v>129</v>
      </c>
      <c r="C10" s="4">
        <v>32000</v>
      </c>
      <c r="D10">
        <v>0.49</v>
      </c>
    </row>
    <row r="11" spans="1:5" x14ac:dyDescent="0.25">
      <c r="A11" t="s">
        <v>137</v>
      </c>
      <c r="B11" t="s">
        <v>129</v>
      </c>
      <c r="C11" s="4">
        <v>37000</v>
      </c>
      <c r="D11">
        <v>0.9</v>
      </c>
      <c r="E11">
        <v>1.5</v>
      </c>
    </row>
    <row r="12" spans="1:5" x14ac:dyDescent="0.25">
      <c r="A12" t="s">
        <v>138</v>
      </c>
      <c r="B12" t="s">
        <v>129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68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  <row r="3" spans="1:5" x14ac:dyDescent="0.25">
      <c r="A3" t="s">
        <v>148</v>
      </c>
      <c r="B3" t="s">
        <v>149</v>
      </c>
      <c r="C3" t="s">
        <v>150</v>
      </c>
      <c r="D3" t="s">
        <v>151</v>
      </c>
      <c r="E3" t="s">
        <v>152</v>
      </c>
    </row>
    <row r="4" spans="1:5" x14ac:dyDescent="0.25">
      <c r="A4" t="s">
        <v>153</v>
      </c>
      <c r="B4" t="s">
        <v>154</v>
      </c>
      <c r="C4" t="s">
        <v>155</v>
      </c>
      <c r="D4" t="s">
        <v>185</v>
      </c>
      <c r="E4">
        <v>0.1</v>
      </c>
    </row>
    <row r="5" spans="1:5" x14ac:dyDescent="0.25">
      <c r="A5" t="s">
        <v>153</v>
      </c>
      <c r="B5" t="s">
        <v>154</v>
      </c>
      <c r="C5" t="s">
        <v>155</v>
      </c>
      <c r="D5" t="s">
        <v>146</v>
      </c>
      <c r="E5">
        <v>0.39</v>
      </c>
    </row>
    <row r="6" spans="1:5" x14ac:dyDescent="0.25">
      <c r="A6" t="s">
        <v>156</v>
      </c>
      <c r="B6" t="s">
        <v>157</v>
      </c>
      <c r="C6" t="s">
        <v>158</v>
      </c>
      <c r="D6" t="s">
        <v>185</v>
      </c>
      <c r="E6">
        <v>0.59</v>
      </c>
    </row>
    <row r="7" spans="1:5" x14ac:dyDescent="0.25">
      <c r="A7" t="s">
        <v>156</v>
      </c>
      <c r="B7" t="s">
        <v>157</v>
      </c>
      <c r="C7" t="s">
        <v>158</v>
      </c>
      <c r="D7" t="s">
        <v>186</v>
      </c>
      <c r="E7">
        <v>0.79</v>
      </c>
    </row>
    <row r="8" spans="1:5" x14ac:dyDescent="0.25">
      <c r="A8" t="s">
        <v>159</v>
      </c>
      <c r="B8" t="s">
        <v>160</v>
      </c>
      <c r="C8" t="s">
        <v>161</v>
      </c>
      <c r="D8" t="s">
        <v>185</v>
      </c>
      <c r="E8" t="s">
        <v>187</v>
      </c>
    </row>
    <row r="9" spans="1:5" x14ac:dyDescent="0.25">
      <c r="A9" t="s">
        <v>159</v>
      </c>
      <c r="B9" t="s">
        <v>160</v>
      </c>
      <c r="C9" t="s">
        <v>161</v>
      </c>
      <c r="D9" t="s">
        <v>146</v>
      </c>
      <c r="E9" t="s">
        <v>188</v>
      </c>
    </row>
    <row r="10" spans="1:5" x14ac:dyDescent="0.25">
      <c r="A10" t="s">
        <v>162</v>
      </c>
      <c r="B10" t="s">
        <v>163</v>
      </c>
      <c r="C10" t="s">
        <v>164</v>
      </c>
      <c r="D10" t="s">
        <v>185</v>
      </c>
      <c r="E10">
        <v>0.28000000000000003</v>
      </c>
    </row>
    <row r="11" spans="1:5" x14ac:dyDescent="0.25">
      <c r="A11" t="s">
        <v>162</v>
      </c>
      <c r="B11" t="s">
        <v>163</v>
      </c>
      <c r="C11" t="s">
        <v>164</v>
      </c>
      <c r="D11" t="s">
        <v>146</v>
      </c>
      <c r="E11">
        <v>0.9</v>
      </c>
    </row>
    <row r="12" spans="1:5" x14ac:dyDescent="0.25">
      <c r="A12" t="s">
        <v>165</v>
      </c>
      <c r="B12" t="s">
        <v>157</v>
      </c>
      <c r="C12" t="s">
        <v>166</v>
      </c>
      <c r="D12" t="s">
        <v>185</v>
      </c>
      <c r="E12">
        <v>0.2</v>
      </c>
    </row>
    <row r="13" spans="1:5" x14ac:dyDescent="0.25">
      <c r="A13" t="s">
        <v>165</v>
      </c>
      <c r="B13" t="s">
        <v>157</v>
      </c>
      <c r="C13" t="s">
        <v>166</v>
      </c>
      <c r="D13" t="s">
        <v>146</v>
      </c>
      <c r="E13" t="s">
        <v>189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G7" sqref="G7"/>
    </sheetView>
  </sheetViews>
  <sheetFormatPr defaultRowHeight="15" x14ac:dyDescent="0.25"/>
  <sheetData>
    <row r="1" spans="1:5" s="1" customFormat="1" x14ac:dyDescent="0.25">
      <c r="A1" s="1" t="s">
        <v>190</v>
      </c>
      <c r="B1" s="1" t="s">
        <v>167</v>
      </c>
      <c r="C1" s="1" t="s">
        <v>168</v>
      </c>
      <c r="D1" s="1" t="s">
        <v>169</v>
      </c>
      <c r="E1" s="1" t="s">
        <v>170</v>
      </c>
    </row>
    <row r="2" spans="1:5" x14ac:dyDescent="0.25">
      <c r="A2" t="s">
        <v>171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172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173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174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175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176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25">
      <c r="A2" t="s">
        <v>196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196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196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196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196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196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196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196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196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196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196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196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196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196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196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196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196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196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196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196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196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196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196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196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196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196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196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196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196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196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196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196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196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196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196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196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196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196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196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196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196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196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196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196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196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196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196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196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196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196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196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196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196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196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196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196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196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196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196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196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196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197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197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197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197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197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197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197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197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197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197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197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197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197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197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197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197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197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197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197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197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197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197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197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197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197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197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197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197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197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197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197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197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197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197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197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197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197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197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197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197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197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197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197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197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197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197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197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197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197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197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197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197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197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197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197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197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197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197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197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197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197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198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198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198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198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198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198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198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198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198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198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198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198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198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198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198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198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198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198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198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198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198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198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198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198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198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198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198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198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198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198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198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198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198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198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198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198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198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198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198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198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198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198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198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198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198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198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198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198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198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198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198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198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198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198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198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198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198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198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198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198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198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7391B-F9D1-4FA3-B95E-4F95F46E1D6D}">
  <dimension ref="A1:E62"/>
  <sheetViews>
    <sheetView tabSelected="1" workbookViewId="0">
      <selection sqref="A1:E2"/>
    </sheetView>
  </sheetViews>
  <sheetFormatPr defaultRowHeight="15" x14ac:dyDescent="0.25"/>
  <cols>
    <col min="2" max="2" width="14" customWidth="1"/>
    <col min="3" max="3" width="22.7109375" customWidth="1"/>
    <col min="4" max="4" width="21.7109375" customWidth="1"/>
    <col min="5" max="5" width="25.42578125" customWidth="1"/>
  </cols>
  <sheetData>
    <row r="1" spans="1:5" x14ac:dyDescent="0.25">
      <c r="A1" s="6" t="s">
        <v>199</v>
      </c>
      <c r="B1" s="1" t="s">
        <v>45</v>
      </c>
      <c r="C1" s="1" t="s">
        <v>46</v>
      </c>
      <c r="D1" s="1" t="s">
        <v>47</v>
      </c>
      <c r="E1" s="1" t="s">
        <v>48</v>
      </c>
    </row>
    <row r="2" spans="1:5" x14ac:dyDescent="0.25">
      <c r="A2">
        <v>2020</v>
      </c>
      <c r="B2">
        <v>90</v>
      </c>
      <c r="C2">
        <v>4</v>
      </c>
      <c r="D2">
        <v>0.01</v>
      </c>
      <c r="E2">
        <v>5.99</v>
      </c>
    </row>
    <row r="3" spans="1:5" x14ac:dyDescent="0.25">
      <c r="A3">
        <v>2021</v>
      </c>
      <c r="B3">
        <v>90</v>
      </c>
      <c r="C3">
        <v>4</v>
      </c>
      <c r="D3">
        <v>0.01</v>
      </c>
      <c r="E3">
        <v>5.99</v>
      </c>
    </row>
    <row r="4" spans="1:5" x14ac:dyDescent="0.25">
      <c r="A4">
        <v>2022</v>
      </c>
      <c r="B4">
        <v>90</v>
      </c>
      <c r="C4">
        <v>4</v>
      </c>
      <c r="D4">
        <v>0.01</v>
      </c>
      <c r="E4">
        <v>5.99</v>
      </c>
    </row>
    <row r="5" spans="1:5" x14ac:dyDescent="0.25">
      <c r="A5">
        <v>2023</v>
      </c>
      <c r="B5">
        <v>90</v>
      </c>
      <c r="C5">
        <v>4</v>
      </c>
      <c r="D5">
        <v>0.01</v>
      </c>
      <c r="E5">
        <v>5.99</v>
      </c>
    </row>
    <row r="6" spans="1:5" x14ac:dyDescent="0.25">
      <c r="A6">
        <v>2024</v>
      </c>
      <c r="B6">
        <v>90</v>
      </c>
      <c r="C6">
        <v>4</v>
      </c>
      <c r="D6">
        <v>0.01</v>
      </c>
      <c r="E6">
        <v>5.99</v>
      </c>
    </row>
    <row r="7" spans="1:5" x14ac:dyDescent="0.25">
      <c r="A7">
        <v>2025</v>
      </c>
      <c r="B7">
        <v>90</v>
      </c>
      <c r="C7">
        <v>4</v>
      </c>
      <c r="D7">
        <v>0.01</v>
      </c>
      <c r="E7">
        <v>5.99</v>
      </c>
    </row>
    <row r="8" spans="1:5" x14ac:dyDescent="0.25">
      <c r="A8">
        <v>2026</v>
      </c>
      <c r="B8">
        <v>90</v>
      </c>
      <c r="C8">
        <v>4</v>
      </c>
      <c r="D8">
        <v>0.01</v>
      </c>
      <c r="E8">
        <v>5.99</v>
      </c>
    </row>
    <row r="9" spans="1:5" x14ac:dyDescent="0.25">
      <c r="A9">
        <v>2027</v>
      </c>
      <c r="B9">
        <v>90</v>
      </c>
      <c r="C9">
        <v>4</v>
      </c>
      <c r="D9">
        <v>0.01</v>
      </c>
      <c r="E9">
        <v>5.99</v>
      </c>
    </row>
    <row r="10" spans="1:5" x14ac:dyDescent="0.25">
      <c r="A10">
        <v>2028</v>
      </c>
      <c r="B10">
        <v>90</v>
      </c>
      <c r="C10">
        <v>4</v>
      </c>
      <c r="D10">
        <v>0.01</v>
      </c>
      <c r="E10">
        <v>5.99</v>
      </c>
    </row>
    <row r="11" spans="1:5" x14ac:dyDescent="0.25">
      <c r="A11">
        <v>2029</v>
      </c>
      <c r="B11">
        <v>90</v>
      </c>
      <c r="C11">
        <v>4</v>
      </c>
      <c r="D11">
        <v>0.01</v>
      </c>
      <c r="E11">
        <v>5.99</v>
      </c>
    </row>
    <row r="12" spans="1:5" x14ac:dyDescent="0.25">
      <c r="A12">
        <v>2030</v>
      </c>
      <c r="B12">
        <v>90</v>
      </c>
      <c r="C12">
        <v>4</v>
      </c>
      <c r="D12">
        <v>0.01</v>
      </c>
      <c r="E12">
        <v>5.99</v>
      </c>
    </row>
    <row r="13" spans="1:5" x14ac:dyDescent="0.25">
      <c r="A13">
        <v>2031</v>
      </c>
      <c r="B13">
        <v>90</v>
      </c>
      <c r="C13">
        <v>4</v>
      </c>
      <c r="D13">
        <v>0.01</v>
      </c>
      <c r="E13">
        <v>5.99</v>
      </c>
    </row>
    <row r="14" spans="1:5" x14ac:dyDescent="0.25">
      <c r="A14">
        <v>2032</v>
      </c>
      <c r="B14">
        <v>90</v>
      </c>
      <c r="C14">
        <v>4</v>
      </c>
      <c r="D14">
        <v>0.01</v>
      </c>
      <c r="E14">
        <v>5.99</v>
      </c>
    </row>
    <row r="15" spans="1:5" x14ac:dyDescent="0.25">
      <c r="A15">
        <v>2033</v>
      </c>
      <c r="B15">
        <v>90</v>
      </c>
      <c r="C15">
        <v>4</v>
      </c>
      <c r="D15">
        <v>0.01</v>
      </c>
      <c r="E15">
        <v>5.99</v>
      </c>
    </row>
    <row r="16" spans="1:5" x14ac:dyDescent="0.25">
      <c r="A16">
        <v>2034</v>
      </c>
      <c r="B16">
        <v>90</v>
      </c>
      <c r="C16">
        <v>4</v>
      </c>
      <c r="D16">
        <v>0.01</v>
      </c>
      <c r="E16">
        <v>5.99</v>
      </c>
    </row>
    <row r="17" spans="1:5" x14ac:dyDescent="0.25">
      <c r="A17">
        <v>2035</v>
      </c>
      <c r="B17">
        <v>90</v>
      </c>
      <c r="C17">
        <v>4</v>
      </c>
      <c r="D17">
        <v>0.01</v>
      </c>
      <c r="E17">
        <v>5.99</v>
      </c>
    </row>
    <row r="18" spans="1:5" x14ac:dyDescent="0.25">
      <c r="A18">
        <v>2036</v>
      </c>
      <c r="B18">
        <v>90</v>
      </c>
      <c r="C18">
        <v>4</v>
      </c>
      <c r="D18">
        <v>0.01</v>
      </c>
      <c r="E18">
        <v>5.99</v>
      </c>
    </row>
    <row r="19" spans="1:5" x14ac:dyDescent="0.25">
      <c r="A19">
        <v>2037</v>
      </c>
      <c r="B19">
        <v>90</v>
      </c>
      <c r="C19">
        <v>4</v>
      </c>
      <c r="D19">
        <v>0.01</v>
      </c>
      <c r="E19">
        <v>5.99</v>
      </c>
    </row>
    <row r="20" spans="1:5" x14ac:dyDescent="0.25">
      <c r="A20">
        <v>2038</v>
      </c>
      <c r="B20">
        <v>90</v>
      </c>
      <c r="C20">
        <v>4</v>
      </c>
      <c r="D20">
        <v>0.01</v>
      </c>
      <c r="E20">
        <v>5.99</v>
      </c>
    </row>
    <row r="21" spans="1:5" x14ac:dyDescent="0.25">
      <c r="A21">
        <v>2039</v>
      </c>
      <c r="B21">
        <v>90</v>
      </c>
      <c r="C21">
        <v>4</v>
      </c>
      <c r="D21">
        <v>0.01</v>
      </c>
      <c r="E21">
        <v>5.99</v>
      </c>
    </row>
    <row r="22" spans="1:5" x14ac:dyDescent="0.25">
      <c r="A22">
        <v>2040</v>
      </c>
      <c r="B22">
        <v>90</v>
      </c>
      <c r="C22">
        <v>4</v>
      </c>
      <c r="D22">
        <v>0.01</v>
      </c>
      <c r="E22">
        <v>5.99</v>
      </c>
    </row>
    <row r="23" spans="1:5" x14ac:dyDescent="0.25">
      <c r="A23">
        <v>2041</v>
      </c>
      <c r="B23">
        <v>90</v>
      </c>
      <c r="C23">
        <v>4</v>
      </c>
      <c r="D23">
        <v>0.01</v>
      </c>
      <c r="E23">
        <v>5.99</v>
      </c>
    </row>
    <row r="24" spans="1:5" x14ac:dyDescent="0.25">
      <c r="A24">
        <v>2042</v>
      </c>
      <c r="B24">
        <v>90</v>
      </c>
      <c r="C24">
        <v>4</v>
      </c>
      <c r="D24">
        <v>0.01</v>
      </c>
      <c r="E24">
        <v>5.99</v>
      </c>
    </row>
    <row r="25" spans="1:5" x14ac:dyDescent="0.25">
      <c r="A25">
        <v>2043</v>
      </c>
      <c r="B25">
        <v>90</v>
      </c>
      <c r="C25">
        <v>4</v>
      </c>
      <c r="D25">
        <v>0.01</v>
      </c>
      <c r="E25">
        <v>5.99</v>
      </c>
    </row>
    <row r="26" spans="1:5" x14ac:dyDescent="0.25">
      <c r="A26">
        <v>2044</v>
      </c>
      <c r="B26">
        <v>90</v>
      </c>
      <c r="C26">
        <v>4</v>
      </c>
      <c r="D26">
        <v>0.01</v>
      </c>
      <c r="E26">
        <v>5.99</v>
      </c>
    </row>
    <row r="27" spans="1:5" x14ac:dyDescent="0.25">
      <c r="A27">
        <v>2045</v>
      </c>
      <c r="B27">
        <v>90</v>
      </c>
      <c r="C27">
        <v>4</v>
      </c>
      <c r="D27">
        <v>0.01</v>
      </c>
      <c r="E27">
        <v>5.99</v>
      </c>
    </row>
    <row r="28" spans="1:5" x14ac:dyDescent="0.25">
      <c r="A28">
        <v>2046</v>
      </c>
      <c r="B28">
        <v>90</v>
      </c>
      <c r="C28">
        <v>4</v>
      </c>
      <c r="D28">
        <v>0.01</v>
      </c>
      <c r="E28">
        <v>5.99</v>
      </c>
    </row>
    <row r="29" spans="1:5" x14ac:dyDescent="0.25">
      <c r="A29">
        <v>2047</v>
      </c>
      <c r="B29">
        <v>90</v>
      </c>
      <c r="C29">
        <v>4</v>
      </c>
      <c r="D29">
        <v>0.01</v>
      </c>
      <c r="E29">
        <v>5.99</v>
      </c>
    </row>
    <row r="30" spans="1:5" x14ac:dyDescent="0.25">
      <c r="A30">
        <v>2048</v>
      </c>
      <c r="B30">
        <v>90</v>
      </c>
      <c r="C30">
        <v>4</v>
      </c>
      <c r="D30">
        <v>0.01</v>
      </c>
      <c r="E30">
        <v>5.99</v>
      </c>
    </row>
    <row r="31" spans="1:5" x14ac:dyDescent="0.25">
      <c r="A31">
        <v>2049</v>
      </c>
      <c r="B31">
        <v>90</v>
      </c>
      <c r="C31">
        <v>4</v>
      </c>
      <c r="D31">
        <v>0.01</v>
      </c>
      <c r="E31">
        <v>5.99</v>
      </c>
    </row>
    <row r="32" spans="1:5" x14ac:dyDescent="0.25">
      <c r="A32">
        <v>2050</v>
      </c>
      <c r="B32">
        <v>90</v>
      </c>
      <c r="C32">
        <v>4</v>
      </c>
      <c r="D32">
        <v>0.01</v>
      </c>
      <c r="E32">
        <v>5.99</v>
      </c>
    </row>
    <row r="33" spans="1:5" x14ac:dyDescent="0.25">
      <c r="A33">
        <v>2051</v>
      </c>
      <c r="B33">
        <v>90</v>
      </c>
      <c r="C33">
        <v>4</v>
      </c>
      <c r="D33">
        <v>0.01</v>
      </c>
      <c r="E33">
        <v>5.99</v>
      </c>
    </row>
    <row r="34" spans="1:5" x14ac:dyDescent="0.25">
      <c r="A34">
        <v>2052</v>
      </c>
      <c r="B34">
        <v>90</v>
      </c>
      <c r="C34">
        <v>4</v>
      </c>
      <c r="D34">
        <v>0.01</v>
      </c>
      <c r="E34">
        <v>5.99</v>
      </c>
    </row>
    <row r="35" spans="1:5" x14ac:dyDescent="0.25">
      <c r="A35">
        <v>2053</v>
      </c>
      <c r="B35">
        <v>90</v>
      </c>
      <c r="C35">
        <v>4</v>
      </c>
      <c r="D35">
        <v>0.01</v>
      </c>
      <c r="E35">
        <v>5.99</v>
      </c>
    </row>
    <row r="36" spans="1:5" x14ac:dyDescent="0.25">
      <c r="A36">
        <v>2054</v>
      </c>
      <c r="B36">
        <v>90</v>
      </c>
      <c r="C36">
        <v>4</v>
      </c>
      <c r="D36">
        <v>0.01</v>
      </c>
      <c r="E36">
        <v>5.99</v>
      </c>
    </row>
    <row r="37" spans="1:5" x14ac:dyDescent="0.25">
      <c r="A37">
        <v>2055</v>
      </c>
      <c r="B37">
        <v>90</v>
      </c>
      <c r="C37">
        <v>4</v>
      </c>
      <c r="D37">
        <v>0.01</v>
      </c>
      <c r="E37">
        <v>5.99</v>
      </c>
    </row>
    <row r="38" spans="1:5" x14ac:dyDescent="0.25">
      <c r="A38">
        <v>2056</v>
      </c>
      <c r="B38">
        <v>90</v>
      </c>
      <c r="C38">
        <v>4</v>
      </c>
      <c r="D38">
        <v>0.01</v>
      </c>
      <c r="E38">
        <v>5.99</v>
      </c>
    </row>
    <row r="39" spans="1:5" x14ac:dyDescent="0.25">
      <c r="A39">
        <v>2057</v>
      </c>
      <c r="B39">
        <v>90</v>
      </c>
      <c r="C39">
        <v>4</v>
      </c>
      <c r="D39">
        <v>0.01</v>
      </c>
      <c r="E39">
        <v>5.99</v>
      </c>
    </row>
    <row r="40" spans="1:5" x14ac:dyDescent="0.25">
      <c r="A40">
        <v>2058</v>
      </c>
      <c r="B40">
        <v>90</v>
      </c>
      <c r="C40">
        <v>4</v>
      </c>
      <c r="D40">
        <v>0.01</v>
      </c>
      <c r="E40">
        <v>5.99</v>
      </c>
    </row>
    <row r="41" spans="1:5" x14ac:dyDescent="0.25">
      <c r="A41">
        <v>2059</v>
      </c>
      <c r="B41">
        <v>90</v>
      </c>
      <c r="C41">
        <v>4</v>
      </c>
      <c r="D41">
        <v>0.01</v>
      </c>
      <c r="E41">
        <v>5.99</v>
      </c>
    </row>
    <row r="42" spans="1:5" x14ac:dyDescent="0.25">
      <c r="A42">
        <v>2060</v>
      </c>
      <c r="B42">
        <v>90</v>
      </c>
      <c r="C42">
        <v>4</v>
      </c>
      <c r="D42">
        <v>0.01</v>
      </c>
      <c r="E42">
        <v>5.99</v>
      </c>
    </row>
    <row r="43" spans="1:5" x14ac:dyDescent="0.25">
      <c r="A43">
        <v>2061</v>
      </c>
      <c r="B43">
        <v>90</v>
      </c>
      <c r="C43">
        <v>4</v>
      </c>
      <c r="D43">
        <v>0.01</v>
      </c>
      <c r="E43">
        <v>5.99</v>
      </c>
    </row>
    <row r="44" spans="1:5" x14ac:dyDescent="0.25">
      <c r="A44">
        <v>2062</v>
      </c>
      <c r="B44">
        <v>90</v>
      </c>
      <c r="C44">
        <v>4</v>
      </c>
      <c r="D44">
        <v>0.01</v>
      </c>
      <c r="E44">
        <v>5.99</v>
      </c>
    </row>
    <row r="45" spans="1:5" x14ac:dyDescent="0.25">
      <c r="A45">
        <v>2063</v>
      </c>
      <c r="B45">
        <v>90</v>
      </c>
      <c r="C45">
        <v>4</v>
      </c>
      <c r="D45">
        <v>0.01</v>
      </c>
      <c r="E45">
        <v>5.99</v>
      </c>
    </row>
    <row r="46" spans="1:5" x14ac:dyDescent="0.25">
      <c r="A46">
        <v>2064</v>
      </c>
      <c r="B46">
        <v>90</v>
      </c>
      <c r="C46">
        <v>4</v>
      </c>
      <c r="D46">
        <v>0.01</v>
      </c>
      <c r="E46">
        <v>5.99</v>
      </c>
    </row>
    <row r="47" spans="1:5" x14ac:dyDescent="0.25">
      <c r="A47">
        <v>2065</v>
      </c>
      <c r="B47">
        <v>90</v>
      </c>
      <c r="C47">
        <v>4</v>
      </c>
      <c r="D47">
        <v>0.01</v>
      </c>
      <c r="E47">
        <v>5.99</v>
      </c>
    </row>
    <row r="48" spans="1:5" x14ac:dyDescent="0.25">
      <c r="A48">
        <v>2066</v>
      </c>
      <c r="B48">
        <v>90</v>
      </c>
      <c r="C48">
        <v>4</v>
      </c>
      <c r="D48">
        <v>0.01</v>
      </c>
      <c r="E48">
        <v>5.99</v>
      </c>
    </row>
    <row r="49" spans="1:5" x14ac:dyDescent="0.25">
      <c r="A49">
        <v>2067</v>
      </c>
      <c r="B49">
        <v>90</v>
      </c>
      <c r="C49">
        <v>4</v>
      </c>
      <c r="D49">
        <v>0.01</v>
      </c>
      <c r="E49">
        <v>5.99</v>
      </c>
    </row>
    <row r="50" spans="1:5" x14ac:dyDescent="0.25">
      <c r="A50">
        <v>2068</v>
      </c>
      <c r="B50">
        <v>90</v>
      </c>
      <c r="C50">
        <v>4</v>
      </c>
      <c r="D50">
        <v>0.01</v>
      </c>
      <c r="E50">
        <v>5.99</v>
      </c>
    </row>
    <row r="51" spans="1:5" x14ac:dyDescent="0.25">
      <c r="A51">
        <v>2069</v>
      </c>
      <c r="B51">
        <v>90</v>
      </c>
      <c r="C51">
        <v>4</v>
      </c>
      <c r="D51">
        <v>0.01</v>
      </c>
      <c r="E51">
        <v>5.99</v>
      </c>
    </row>
    <row r="52" spans="1:5" x14ac:dyDescent="0.25">
      <c r="A52">
        <v>2070</v>
      </c>
      <c r="B52">
        <v>90</v>
      </c>
      <c r="C52">
        <v>4</v>
      </c>
      <c r="D52">
        <v>0.01</v>
      </c>
      <c r="E52">
        <v>5.99</v>
      </c>
    </row>
    <row r="53" spans="1:5" x14ac:dyDescent="0.25">
      <c r="A53">
        <v>2071</v>
      </c>
      <c r="B53">
        <v>90</v>
      </c>
      <c r="C53">
        <v>4</v>
      </c>
      <c r="D53">
        <v>0.01</v>
      </c>
      <c r="E53">
        <v>5.99</v>
      </c>
    </row>
    <row r="54" spans="1:5" x14ac:dyDescent="0.25">
      <c r="A54">
        <v>2072</v>
      </c>
      <c r="B54">
        <v>90</v>
      </c>
      <c r="C54">
        <v>4</v>
      </c>
      <c r="D54">
        <v>0.01</v>
      </c>
      <c r="E54">
        <v>5.99</v>
      </c>
    </row>
    <row r="55" spans="1:5" x14ac:dyDescent="0.25">
      <c r="A55">
        <v>2073</v>
      </c>
      <c r="B55">
        <v>90</v>
      </c>
      <c r="C55">
        <v>4</v>
      </c>
      <c r="D55">
        <v>0.01</v>
      </c>
      <c r="E55">
        <v>5.99</v>
      </c>
    </row>
    <row r="56" spans="1:5" x14ac:dyDescent="0.25">
      <c r="A56">
        <v>2074</v>
      </c>
      <c r="B56">
        <v>90</v>
      </c>
      <c r="C56">
        <v>4</v>
      </c>
      <c r="D56">
        <v>0.01</v>
      </c>
      <c r="E56">
        <v>5.99</v>
      </c>
    </row>
    <row r="57" spans="1:5" x14ac:dyDescent="0.25">
      <c r="A57">
        <v>2075</v>
      </c>
      <c r="B57">
        <v>90</v>
      </c>
      <c r="C57">
        <v>4</v>
      </c>
      <c r="D57">
        <v>0.01</v>
      </c>
      <c r="E57">
        <v>5.99</v>
      </c>
    </row>
    <row r="58" spans="1:5" x14ac:dyDescent="0.25">
      <c r="A58">
        <v>2076</v>
      </c>
      <c r="B58">
        <v>90</v>
      </c>
      <c r="C58">
        <v>4</v>
      </c>
      <c r="D58">
        <v>0.01</v>
      </c>
      <c r="E58">
        <v>5.99</v>
      </c>
    </row>
    <row r="59" spans="1:5" x14ac:dyDescent="0.25">
      <c r="A59">
        <v>2077</v>
      </c>
      <c r="B59">
        <v>90</v>
      </c>
      <c r="C59">
        <v>4</v>
      </c>
      <c r="D59">
        <v>0.01</v>
      </c>
      <c r="E59">
        <v>5.99</v>
      </c>
    </row>
    <row r="60" spans="1:5" x14ac:dyDescent="0.25">
      <c r="A60">
        <v>2078</v>
      </c>
      <c r="B60">
        <v>90</v>
      </c>
      <c r="C60">
        <v>4</v>
      </c>
      <c r="D60">
        <v>0.01</v>
      </c>
      <c r="E60">
        <v>5.99</v>
      </c>
    </row>
    <row r="61" spans="1:5" x14ac:dyDescent="0.25">
      <c r="A61">
        <v>2079</v>
      </c>
      <c r="B61">
        <v>90</v>
      </c>
      <c r="C61">
        <v>4</v>
      </c>
      <c r="D61">
        <v>0.01</v>
      </c>
      <c r="E61">
        <v>5.99</v>
      </c>
    </row>
    <row r="62" spans="1:5" x14ac:dyDescent="0.25">
      <c r="A62">
        <v>2080</v>
      </c>
      <c r="B62">
        <v>90</v>
      </c>
      <c r="C62">
        <v>4</v>
      </c>
      <c r="D62">
        <v>0.01</v>
      </c>
      <c r="E62">
        <v>5.99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ProjectTypes</vt:lpstr>
      <vt:lpstr>DefaultLifetime</vt:lpstr>
      <vt:lpstr>TransitDependencyAdjustments</vt:lpstr>
      <vt:lpstr>GREETCarbonIntensity</vt:lpstr>
      <vt:lpstr>MobilityServiceVMTReduction</vt:lpstr>
      <vt:lpstr>OCTAMobilityHubVMT</vt:lpstr>
      <vt:lpstr>AccesstoTransitImpact</vt:lpstr>
      <vt:lpstr>AdjustmentFactorsAndTripLengths</vt:lpstr>
      <vt:lpstr>TotalVMTReductionPotential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  <vt:lpstr>FleetProportion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Giesie, Mallory</dc:creator>
  <cp:lastModifiedBy>Giesie, Mallory</cp:lastModifiedBy>
  <dcterms:created xsi:type="dcterms:W3CDTF">2024-05-31T04:49:48Z</dcterms:created>
  <dcterms:modified xsi:type="dcterms:W3CDTF">2024-07-11T18:18:43Z</dcterms:modified>
</cp:coreProperties>
</file>